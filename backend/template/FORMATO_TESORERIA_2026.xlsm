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D:\1 TESORERIA RAN - DESDE MAYO 2015\TESORERIA RAN 2025\MATERIAL DE TRABAJO 2025\MATERIAL DE TRABAJO\"/>
    </mc:Choice>
  </mc:AlternateContent>
  <xr:revisionPtr revIDLastSave="0" documentId="8_{20CB8749-C90A-4F90-BAFD-F4CD6E96D58D}" xr6:coauthVersionLast="47" xr6:coauthVersionMax="47" xr10:uidLastSave="{00000000-0000-0000-0000-000000000000}"/>
  <workbookProtection workbookAlgorithmName="SHA-512" workbookHashValue="9nQB4zrIRZZFuB+3BtErg6P0YZ12jI0Jk0mrxXbPQ7xI4P4wiTFA2eKrvfBYFfAMZq/bBqL6KYcj0MtTSdRPHQ==" workbookSaltValue="Gb9suoZ1MSFTUfWB19sr2Q==" workbookSpinCount="100000" lockStructure="1"/>
  <bookViews>
    <workbookView xWindow="-108" yWindow="-108" windowWidth="23256" windowHeight="13896" tabRatio="638" activeTab="5" xr2:uid="{00000000-000D-0000-FFFF-FFFF00000000}"/>
  </bookViews>
  <sheets>
    <sheet name="INSTRUCCIONES" sheetId="10" r:id="rId1"/>
    <sheet name="INGRESO DE DATOS" sheetId="9" r:id="rId2"/>
    <sheet name="1006-Ingresos" sheetId="4" r:id="rId3"/>
    <sheet name="1007 - Egresos" sheetId="5" r:id="rId4"/>
    <sheet name="1008-Entrega de Fondos" sheetId="6" r:id="rId5"/>
    <sheet name="1004 - Cuadre de caja" sheetId="8" r:id="rId6"/>
  </sheets>
  <definedNames>
    <definedName name="_xlnm._FilterDatabase" localSheetId="2" hidden="1">'1006-Ingresos'!$A$9:$L$10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3" i="4" l="1"/>
  <c r="I458" i="4"/>
  <c r="I455" i="4"/>
  <c r="I452" i="4"/>
  <c r="I449" i="4"/>
  <c r="I446" i="4"/>
  <c r="I443" i="4"/>
  <c r="I440" i="4"/>
  <c r="I437" i="4"/>
  <c r="I434" i="4"/>
  <c r="I431" i="4"/>
  <c r="I428" i="4"/>
  <c r="I425" i="4"/>
  <c r="I422" i="4"/>
  <c r="I419" i="4"/>
  <c r="I416" i="4"/>
  <c r="I413" i="4"/>
  <c r="I410" i="4"/>
  <c r="I407" i="4"/>
  <c r="I404" i="4"/>
  <c r="I401" i="4"/>
  <c r="I398" i="4"/>
  <c r="I395" i="4"/>
  <c r="I392" i="4"/>
  <c r="I389" i="4"/>
  <c r="I386" i="4"/>
  <c r="I383" i="4"/>
  <c r="I380" i="4"/>
  <c r="I377" i="4"/>
  <c r="I374" i="4"/>
  <c r="I371" i="4"/>
  <c r="I368" i="4"/>
  <c r="I365" i="4"/>
  <c r="I362" i="4"/>
  <c r="I359" i="4"/>
  <c r="I356" i="4"/>
  <c r="I353" i="4"/>
  <c r="I350" i="4"/>
  <c r="I347" i="4"/>
  <c r="I344" i="4"/>
  <c r="I341" i="4"/>
  <c r="I338" i="4"/>
  <c r="I335" i="4"/>
  <c r="I332" i="4"/>
  <c r="I329" i="4"/>
  <c r="I326" i="4"/>
  <c r="I323" i="4"/>
  <c r="I320" i="4"/>
  <c r="I317" i="4"/>
  <c r="I314" i="4"/>
  <c r="I311" i="4"/>
  <c r="I308" i="4"/>
  <c r="I305" i="4"/>
  <c r="I302" i="4"/>
  <c r="I299" i="4"/>
  <c r="I296" i="4"/>
  <c r="I293" i="4"/>
  <c r="I290" i="4"/>
  <c r="I287" i="4"/>
  <c r="I284" i="4"/>
  <c r="I281" i="4"/>
  <c r="I278" i="4"/>
  <c r="I275" i="4"/>
  <c r="I272" i="4"/>
  <c r="I269" i="4"/>
  <c r="I266" i="4"/>
  <c r="I263" i="4"/>
  <c r="I260" i="4"/>
  <c r="I257" i="4"/>
  <c r="I254" i="4"/>
  <c r="I251" i="4"/>
  <c r="I248" i="4"/>
  <c r="I245" i="4"/>
  <c r="I242" i="4"/>
  <c r="I239" i="4"/>
  <c r="I236" i="4"/>
  <c r="I233" i="4"/>
  <c r="I230" i="4"/>
  <c r="I227" i="4"/>
  <c r="I224" i="4"/>
  <c r="I221" i="4"/>
  <c r="I218" i="4"/>
  <c r="I215" i="4"/>
  <c r="I212" i="4"/>
  <c r="I209" i="4"/>
  <c r="I206" i="4"/>
  <c r="I203" i="4"/>
  <c r="I200" i="4"/>
  <c r="I197" i="4"/>
  <c r="I194" i="4"/>
  <c r="I191" i="4"/>
  <c r="I188" i="4"/>
  <c r="I185" i="4"/>
  <c r="I182" i="4"/>
  <c r="I179" i="4"/>
  <c r="I176" i="4"/>
  <c r="I173" i="4"/>
  <c r="I170" i="4"/>
  <c r="I167" i="4"/>
  <c r="I164" i="4"/>
  <c r="I161" i="4"/>
  <c r="I158" i="4"/>
  <c r="I155" i="4"/>
  <c r="I152" i="4"/>
  <c r="I149" i="4"/>
  <c r="I146" i="4"/>
  <c r="I143" i="4"/>
  <c r="I140" i="4"/>
  <c r="I137" i="4"/>
  <c r="I134" i="4"/>
  <c r="I131" i="4"/>
  <c r="I128" i="4"/>
  <c r="I125" i="4"/>
  <c r="I122" i="4"/>
  <c r="I119" i="4"/>
  <c r="I116" i="4"/>
  <c r="I113" i="4"/>
  <c r="I110" i="4"/>
  <c r="I107" i="4"/>
  <c r="I104" i="4"/>
  <c r="I101" i="4"/>
  <c r="I98" i="4"/>
  <c r="I95" i="4"/>
  <c r="I92" i="4"/>
  <c r="I89" i="4"/>
  <c r="I86" i="4"/>
  <c r="I83" i="4"/>
  <c r="I80" i="4"/>
  <c r="I77" i="4"/>
  <c r="I74" i="4"/>
  <c r="I71" i="4"/>
  <c r="I68" i="4"/>
  <c r="I65" i="4"/>
  <c r="I62" i="4"/>
  <c r="I59" i="4"/>
  <c r="I56" i="4"/>
  <c r="I53" i="4"/>
  <c r="I50" i="4"/>
  <c r="I47" i="4"/>
  <c r="I44" i="4"/>
  <c r="I41" i="4"/>
  <c r="I38" i="4"/>
  <c r="I35" i="4"/>
  <c r="I32" i="4"/>
  <c r="I29" i="4"/>
  <c r="I26" i="4"/>
  <c r="I23" i="4"/>
  <c r="I20" i="4"/>
  <c r="I17" i="4"/>
  <c r="I14" i="4"/>
  <c r="I11" i="4"/>
  <c r="H11" i="4"/>
  <c r="H458" i="4"/>
  <c r="H455" i="4"/>
  <c r="H452" i="4"/>
  <c r="H449" i="4"/>
  <c r="H446" i="4"/>
  <c r="H443" i="4"/>
  <c r="H440" i="4"/>
  <c r="H437" i="4"/>
  <c r="H434" i="4"/>
  <c r="H431" i="4"/>
  <c r="H428" i="4"/>
  <c r="J428" i="4" s="1"/>
  <c r="H425" i="4"/>
  <c r="H422" i="4"/>
  <c r="H419" i="4"/>
  <c r="H416" i="4"/>
  <c r="H413" i="4"/>
  <c r="H410" i="4"/>
  <c r="H407" i="4"/>
  <c r="H404" i="4"/>
  <c r="H401" i="4"/>
  <c r="H398" i="4"/>
  <c r="H395" i="4"/>
  <c r="H392" i="4"/>
  <c r="H389" i="4"/>
  <c r="H386" i="4"/>
  <c r="H383" i="4"/>
  <c r="H380" i="4"/>
  <c r="H377" i="4"/>
  <c r="H374" i="4"/>
  <c r="H371" i="4"/>
  <c r="H368" i="4"/>
  <c r="H365" i="4"/>
  <c r="H362" i="4"/>
  <c r="H359" i="4"/>
  <c r="H356" i="4"/>
  <c r="H353" i="4"/>
  <c r="H350" i="4"/>
  <c r="H347" i="4"/>
  <c r="H344" i="4"/>
  <c r="H341" i="4"/>
  <c r="H338" i="4"/>
  <c r="H335" i="4"/>
  <c r="H332" i="4"/>
  <c r="H329" i="4"/>
  <c r="H326" i="4"/>
  <c r="H323" i="4"/>
  <c r="H320" i="4"/>
  <c r="H317" i="4"/>
  <c r="J317" i="4" s="1"/>
  <c r="H314" i="4"/>
  <c r="H311" i="4"/>
  <c r="H308" i="4"/>
  <c r="H305" i="4"/>
  <c r="H302" i="4"/>
  <c r="H299" i="4"/>
  <c r="J299" i="4" s="1"/>
  <c r="H296" i="4"/>
  <c r="H293" i="4"/>
  <c r="H290" i="4"/>
  <c r="H287" i="4"/>
  <c r="H284" i="4"/>
  <c r="J284" i="4" s="1"/>
  <c r="H281" i="4"/>
  <c r="H278" i="4"/>
  <c r="H275" i="4"/>
  <c r="H272" i="4"/>
  <c r="H269" i="4"/>
  <c r="H266" i="4"/>
  <c r="H263" i="4"/>
  <c r="H260" i="4"/>
  <c r="H257" i="4"/>
  <c r="H254" i="4"/>
  <c r="H251" i="4"/>
  <c r="H248" i="4"/>
  <c r="H245" i="4"/>
  <c r="H242" i="4"/>
  <c r="H239" i="4"/>
  <c r="H236" i="4"/>
  <c r="H233" i="4"/>
  <c r="H230" i="4"/>
  <c r="H227" i="4"/>
  <c r="H224" i="4"/>
  <c r="H221" i="4"/>
  <c r="H218" i="4"/>
  <c r="H215" i="4"/>
  <c r="H212" i="4"/>
  <c r="H209" i="4"/>
  <c r="H206" i="4"/>
  <c r="H203" i="4"/>
  <c r="H200" i="4"/>
  <c r="H197" i="4"/>
  <c r="H194" i="4"/>
  <c r="H191" i="4"/>
  <c r="H188" i="4"/>
  <c r="H185" i="4"/>
  <c r="H182" i="4"/>
  <c r="H179" i="4"/>
  <c r="H176" i="4"/>
  <c r="H173" i="4"/>
  <c r="H170" i="4"/>
  <c r="H167" i="4"/>
  <c r="H164" i="4"/>
  <c r="H161" i="4"/>
  <c r="H158" i="4"/>
  <c r="H155" i="4"/>
  <c r="H152" i="4"/>
  <c r="H149" i="4"/>
  <c r="H146" i="4"/>
  <c r="H143" i="4"/>
  <c r="H140" i="4"/>
  <c r="H137" i="4"/>
  <c r="H134" i="4"/>
  <c r="H131" i="4"/>
  <c r="H128" i="4"/>
  <c r="H125" i="4"/>
  <c r="H122" i="4"/>
  <c r="H119" i="4"/>
  <c r="H116" i="4"/>
  <c r="H113" i="4"/>
  <c r="H110" i="4"/>
  <c r="H107" i="4"/>
  <c r="H104" i="4"/>
  <c r="H101" i="4"/>
  <c r="H98" i="4"/>
  <c r="H95" i="4"/>
  <c r="H92" i="4"/>
  <c r="H89" i="4"/>
  <c r="H86" i="4"/>
  <c r="H83" i="4"/>
  <c r="H80" i="4"/>
  <c r="H77" i="4"/>
  <c r="H74" i="4"/>
  <c r="H71" i="4"/>
  <c r="H68" i="4"/>
  <c r="H65" i="4"/>
  <c r="H62" i="4"/>
  <c r="H59" i="4"/>
  <c r="H56" i="4"/>
  <c r="H53" i="4"/>
  <c r="H50" i="4"/>
  <c r="H47" i="4"/>
  <c r="H44" i="4"/>
  <c r="H41" i="4"/>
  <c r="H38" i="4"/>
  <c r="H35" i="4"/>
  <c r="H32" i="4"/>
  <c r="H29" i="4"/>
  <c r="H26" i="4"/>
  <c r="H23" i="4"/>
  <c r="H20" i="4"/>
  <c r="H17" i="4"/>
  <c r="H14" i="4"/>
  <c r="J296" i="4"/>
  <c r="J401" i="4"/>
  <c r="E11" i="4"/>
  <c r="F11" i="4"/>
  <c r="G11" i="4"/>
  <c r="J398" i="4" l="1"/>
  <c r="J11" i="4"/>
  <c r="D76" i="8"/>
  <c r="B104" i="8"/>
  <c r="F5" i="4"/>
  <c r="F4" i="4"/>
  <c r="D3" i="6"/>
  <c r="F3" i="5"/>
  <c r="F3" i="4"/>
  <c r="B3" i="8"/>
  <c r="B4" i="8"/>
  <c r="E182" i="4" l="1"/>
  <c r="G458" i="4"/>
  <c r="G455" i="4"/>
  <c r="G452" i="4"/>
  <c r="G449" i="4"/>
  <c r="G446" i="4"/>
  <c r="G443" i="4"/>
  <c r="G440" i="4"/>
  <c r="G437" i="4"/>
  <c r="G434" i="4"/>
  <c r="G431" i="4"/>
  <c r="G428" i="4"/>
  <c r="G425" i="4"/>
  <c r="G422" i="4"/>
  <c r="G419" i="4"/>
  <c r="G416" i="4"/>
  <c r="G413" i="4"/>
  <c r="G410" i="4"/>
  <c r="G407" i="4"/>
  <c r="G404" i="4"/>
  <c r="G401" i="4"/>
  <c r="G398" i="4"/>
  <c r="G395" i="4"/>
  <c r="G392" i="4"/>
  <c r="G389" i="4"/>
  <c r="G386" i="4"/>
  <c r="G383" i="4"/>
  <c r="G380" i="4"/>
  <c r="G377" i="4"/>
  <c r="G374" i="4"/>
  <c r="G371" i="4"/>
  <c r="G368" i="4"/>
  <c r="G365" i="4"/>
  <c r="G362" i="4"/>
  <c r="G359" i="4"/>
  <c r="G356" i="4"/>
  <c r="G353" i="4"/>
  <c r="G350" i="4"/>
  <c r="G347" i="4"/>
  <c r="G344" i="4"/>
  <c r="G341" i="4"/>
  <c r="G338" i="4"/>
  <c r="G335" i="4"/>
  <c r="G332" i="4"/>
  <c r="G329" i="4"/>
  <c r="G326" i="4"/>
  <c r="G323" i="4"/>
  <c r="G320" i="4"/>
  <c r="G317" i="4"/>
  <c r="G314" i="4"/>
  <c r="G311" i="4"/>
  <c r="G308" i="4"/>
  <c r="G305" i="4"/>
  <c r="G302" i="4"/>
  <c r="G299" i="4"/>
  <c r="G296" i="4"/>
  <c r="G293" i="4"/>
  <c r="G290" i="4"/>
  <c r="G287" i="4"/>
  <c r="G284" i="4"/>
  <c r="G281" i="4"/>
  <c r="G278" i="4"/>
  <c r="G275" i="4"/>
  <c r="G272" i="4"/>
  <c r="G269" i="4"/>
  <c r="G266" i="4"/>
  <c r="G263" i="4"/>
  <c r="G260" i="4"/>
  <c r="G257" i="4"/>
  <c r="G254" i="4"/>
  <c r="G251" i="4"/>
  <c r="G248" i="4"/>
  <c r="G245" i="4"/>
  <c r="G242" i="4"/>
  <c r="G239" i="4"/>
  <c r="G236" i="4"/>
  <c r="G233" i="4"/>
  <c r="G230" i="4"/>
  <c r="D85" i="8"/>
  <c r="A85" i="8"/>
  <c r="D84" i="8"/>
  <c r="A84" i="8"/>
  <c r="D83" i="8"/>
  <c r="A83" i="8"/>
  <c r="D82" i="8"/>
  <c r="A82" i="8"/>
  <c r="D81" i="8"/>
  <c r="A81" i="8"/>
  <c r="D80" i="8"/>
  <c r="A80" i="8"/>
  <c r="D79" i="8"/>
  <c r="A79" i="8"/>
  <c r="D78" i="8"/>
  <c r="A78" i="8"/>
  <c r="D77" i="8"/>
  <c r="A77" i="8"/>
  <c r="A76" i="8"/>
  <c r="D75" i="8"/>
  <c r="A75" i="8"/>
  <c r="D74" i="8"/>
  <c r="A74" i="8"/>
  <c r="D73" i="8"/>
  <c r="A73" i="8"/>
  <c r="D72" i="8"/>
  <c r="A72" i="8"/>
  <c r="D71" i="8"/>
  <c r="A71" i="8"/>
  <c r="D70" i="8"/>
  <c r="A70" i="8"/>
  <c r="D69" i="8"/>
  <c r="A69" i="8"/>
  <c r="D60" i="8"/>
  <c r="A60" i="8"/>
  <c r="D59" i="8"/>
  <c r="A59" i="8"/>
  <c r="D58" i="8"/>
  <c r="A58" i="8"/>
  <c r="D57" i="8"/>
  <c r="A57" i="8"/>
  <c r="D56" i="8"/>
  <c r="A56" i="8"/>
  <c r="D55" i="8"/>
  <c r="A55" i="8"/>
  <c r="D54" i="8"/>
  <c r="A54" i="8"/>
  <c r="D53" i="8"/>
  <c r="A53" i="8"/>
  <c r="D52" i="8"/>
  <c r="A52" i="8"/>
  <c r="D51" i="8"/>
  <c r="A51" i="8"/>
  <c r="D50" i="8"/>
  <c r="A50" i="8"/>
  <c r="D49" i="8"/>
  <c r="A49" i="8"/>
  <c r="D48" i="8"/>
  <c r="A48" i="8"/>
  <c r="D47" i="8"/>
  <c r="A47" i="8"/>
  <c r="D46" i="8"/>
  <c r="A46" i="8"/>
  <c r="D45" i="8"/>
  <c r="A45" i="8"/>
  <c r="D44" i="8"/>
  <c r="A44" i="8"/>
  <c r="A41" i="8"/>
  <c r="C31" i="8"/>
  <c r="A31" i="8"/>
  <c r="C30" i="8"/>
  <c r="A30" i="8"/>
  <c r="C29" i="8"/>
  <c r="A29" i="8"/>
  <c r="C28" i="8"/>
  <c r="A28" i="8"/>
  <c r="C27" i="8"/>
  <c r="A27" i="8"/>
  <c r="C26" i="8"/>
  <c r="A26" i="8"/>
  <c r="C25" i="8"/>
  <c r="A25" i="8"/>
  <c r="G11" i="6"/>
  <c r="G17" i="6"/>
  <c r="F19" i="6"/>
  <c r="G19" i="6" s="1"/>
  <c r="C19" i="6"/>
  <c r="F18" i="6"/>
  <c r="G18" i="6" s="1"/>
  <c r="C18" i="6"/>
  <c r="F17" i="6"/>
  <c r="C17" i="6"/>
  <c r="F16" i="6"/>
  <c r="G16" i="6" s="1"/>
  <c r="C16" i="6"/>
  <c r="F15" i="6"/>
  <c r="G15" i="6" s="1"/>
  <c r="C15" i="6"/>
  <c r="F14" i="6"/>
  <c r="G14" i="6" s="1"/>
  <c r="C14" i="6"/>
  <c r="F13" i="6"/>
  <c r="G13" i="6" s="1"/>
  <c r="C13" i="6"/>
  <c r="F12" i="6"/>
  <c r="G12" i="6" s="1"/>
  <c r="C12" i="6"/>
  <c r="F11" i="6"/>
  <c r="C11" i="6"/>
  <c r="F10" i="6"/>
  <c r="G10" i="6" s="1"/>
  <c r="C10" i="6"/>
  <c r="J22" i="5"/>
  <c r="J21" i="5"/>
  <c r="G21" i="5"/>
  <c r="E21" i="5"/>
  <c r="J20" i="5"/>
  <c r="G20" i="5"/>
  <c r="E20" i="5"/>
  <c r="J19" i="5"/>
  <c r="J18" i="5"/>
  <c r="J17" i="5"/>
  <c r="J16" i="5"/>
  <c r="J15" i="5"/>
  <c r="J14" i="5"/>
  <c r="J13" i="5"/>
  <c r="G22" i="5"/>
  <c r="E22" i="5"/>
  <c r="G19" i="5"/>
  <c r="E19" i="5"/>
  <c r="G18" i="5"/>
  <c r="E18" i="5"/>
  <c r="G17" i="5"/>
  <c r="E17" i="5"/>
  <c r="G16" i="5"/>
  <c r="E16" i="5"/>
  <c r="G15" i="5"/>
  <c r="E15" i="5"/>
  <c r="G14" i="5"/>
  <c r="E14" i="5"/>
  <c r="G13" i="5"/>
  <c r="E13" i="5"/>
  <c r="B20" i="9"/>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 r="B138" i="9" s="1"/>
  <c r="B139" i="9" s="1"/>
  <c r="B140" i="9" s="1"/>
  <c r="B141" i="9" s="1"/>
  <c r="B142" i="9" s="1"/>
  <c r="B143" i="9" s="1"/>
  <c r="B144" i="9" s="1"/>
  <c r="B145" i="9" s="1"/>
  <c r="B146" i="9" s="1"/>
  <c r="B147" i="9" s="1"/>
  <c r="B148" i="9" s="1"/>
  <c r="B149" i="9" s="1"/>
  <c r="B150" i="9" s="1"/>
  <c r="B151" i="9" s="1"/>
  <c r="B152" i="9" s="1"/>
  <c r="B153" i="9" s="1"/>
  <c r="B154" i="9" s="1"/>
  <c r="B155" i="9" s="1"/>
  <c r="B156" i="9" s="1"/>
  <c r="B157" i="9" s="1"/>
  <c r="B158" i="9" s="1"/>
  <c r="B159" i="9" s="1"/>
  <c r="B160" i="9" s="1"/>
  <c r="B161" i="9" s="1"/>
  <c r="B162" i="9" s="1"/>
  <c r="B163" i="9" s="1"/>
  <c r="B164" i="9" s="1"/>
  <c r="B165" i="9" s="1"/>
  <c r="B166" i="9" s="1"/>
  <c r="B167" i="9" s="1"/>
  <c r="B168" i="9" s="1"/>
  <c r="I464" i="4" l="1"/>
  <c r="I37" i="9"/>
  <c r="M47" i="9"/>
  <c r="J458" i="4"/>
  <c r="J452" i="4"/>
  <c r="J449" i="4"/>
  <c r="E437" i="4"/>
  <c r="F458" i="4"/>
  <c r="E458" i="4"/>
  <c r="F455" i="4"/>
  <c r="E455" i="4"/>
  <c r="F452" i="4"/>
  <c r="E452" i="4"/>
  <c r="F449" i="4"/>
  <c r="E449" i="4"/>
  <c r="F446" i="4"/>
  <c r="E446" i="4"/>
  <c r="F443" i="4"/>
  <c r="E443" i="4"/>
  <c r="F440" i="4"/>
  <c r="E440" i="4"/>
  <c r="F437" i="4"/>
  <c r="F434" i="4"/>
  <c r="E434" i="4"/>
  <c r="F431" i="4"/>
  <c r="E431" i="4"/>
  <c r="F428" i="4"/>
  <c r="E428" i="4"/>
  <c r="F425" i="4"/>
  <c r="E425" i="4"/>
  <c r="F422" i="4"/>
  <c r="E422" i="4"/>
  <c r="F419" i="4"/>
  <c r="E419" i="4"/>
  <c r="F416" i="4"/>
  <c r="E416" i="4"/>
  <c r="F413" i="4"/>
  <c r="E413" i="4"/>
  <c r="F410" i="4"/>
  <c r="E410" i="4"/>
  <c r="E407" i="4"/>
  <c r="F407" i="4"/>
  <c r="F404" i="4"/>
  <c r="E404" i="4"/>
  <c r="F401" i="4"/>
  <c r="E401" i="4"/>
  <c r="F398" i="4"/>
  <c r="E398" i="4"/>
  <c r="F395" i="4"/>
  <c r="E395" i="4"/>
  <c r="F392" i="4"/>
  <c r="E392" i="4"/>
  <c r="F389" i="4"/>
  <c r="E389" i="4"/>
  <c r="F386" i="4"/>
  <c r="E386" i="4"/>
  <c r="F383" i="4"/>
  <c r="E383" i="4"/>
  <c r="F380" i="4"/>
  <c r="E380" i="4"/>
  <c r="F377" i="4"/>
  <c r="E377" i="4"/>
  <c r="F374" i="4"/>
  <c r="E374" i="4"/>
  <c r="F371" i="4"/>
  <c r="E371" i="4"/>
  <c r="F368" i="4"/>
  <c r="E368" i="4"/>
  <c r="F365" i="4"/>
  <c r="E365" i="4"/>
  <c r="F362" i="4"/>
  <c r="J374" i="4"/>
  <c r="J362" i="4"/>
  <c r="E362" i="4"/>
  <c r="F359" i="4"/>
  <c r="E359" i="4"/>
  <c r="F356" i="4"/>
  <c r="E356" i="4"/>
  <c r="F353" i="4"/>
  <c r="E353" i="4"/>
  <c r="F350" i="4"/>
  <c r="E350" i="4"/>
  <c r="F347" i="4"/>
  <c r="E347" i="4"/>
  <c r="F344" i="4"/>
  <c r="E344" i="4"/>
  <c r="F341" i="4"/>
  <c r="E341" i="4"/>
  <c r="F338" i="4"/>
  <c r="E338" i="4"/>
  <c r="F335" i="4"/>
  <c r="E335" i="4"/>
  <c r="F332" i="4"/>
  <c r="E332" i="4"/>
  <c r="F329" i="4"/>
  <c r="E329" i="4"/>
  <c r="F326" i="4"/>
  <c r="E326" i="4"/>
  <c r="F323" i="4"/>
  <c r="E323" i="4"/>
  <c r="E320" i="4"/>
  <c r="F320" i="4"/>
  <c r="F317" i="4"/>
  <c r="E317" i="4"/>
  <c r="F314" i="4"/>
  <c r="E314" i="4"/>
  <c r="F311" i="4"/>
  <c r="E311" i="4"/>
  <c r="F308" i="4"/>
  <c r="E308" i="4"/>
  <c r="F305" i="4"/>
  <c r="E305" i="4"/>
  <c r="F302" i="4"/>
  <c r="E302" i="4"/>
  <c r="F299" i="4"/>
  <c r="E299" i="4"/>
  <c r="F296" i="4"/>
  <c r="E296" i="4"/>
  <c r="F293" i="4"/>
  <c r="E293" i="4"/>
  <c r="F290" i="4"/>
  <c r="E290" i="4"/>
  <c r="F287" i="4"/>
  <c r="E287" i="4"/>
  <c r="F284" i="4"/>
  <c r="E284" i="4"/>
  <c r="E281" i="4"/>
  <c r="F281" i="4"/>
  <c r="F278" i="4"/>
  <c r="E278" i="4"/>
  <c r="F275" i="4"/>
  <c r="E275" i="4"/>
  <c r="F272" i="4"/>
  <c r="E272" i="4"/>
  <c r="F269" i="4"/>
  <c r="E269" i="4"/>
  <c r="F266" i="4"/>
  <c r="E266" i="4"/>
  <c r="F263" i="4"/>
  <c r="E263" i="4"/>
  <c r="F260" i="4"/>
  <c r="E260" i="4"/>
  <c r="F257" i="4"/>
  <c r="E257" i="4"/>
  <c r="F254" i="4"/>
  <c r="E254" i="4"/>
  <c r="F251" i="4"/>
  <c r="E251" i="4"/>
  <c r="J242" i="4"/>
  <c r="F248" i="4"/>
  <c r="E248" i="4"/>
  <c r="F245" i="4"/>
  <c r="E245" i="4"/>
  <c r="F242" i="4"/>
  <c r="E242" i="4"/>
  <c r="F239" i="4"/>
  <c r="E239" i="4"/>
  <c r="F236" i="4"/>
  <c r="E236" i="4"/>
  <c r="F233" i="4"/>
  <c r="E233" i="4"/>
  <c r="E68" i="4"/>
  <c r="J446" i="4" l="1"/>
  <c r="J332" i="4"/>
  <c r="J407" i="4"/>
  <c r="J359" i="4"/>
  <c r="J389" i="4"/>
  <c r="J290" i="4"/>
  <c r="J311" i="4"/>
  <c r="J314" i="4"/>
  <c r="J323" i="4"/>
  <c r="J326" i="4"/>
  <c r="J335" i="4"/>
  <c r="J338" i="4"/>
  <c r="J437" i="4"/>
  <c r="J302" i="4"/>
  <c r="J353" i="4"/>
  <c r="J416" i="4"/>
  <c r="J443" i="4"/>
  <c r="J455" i="4"/>
  <c r="J269" i="4"/>
  <c r="J287" i="4"/>
  <c r="J320" i="4"/>
  <c r="J341" i="4"/>
  <c r="J368" i="4"/>
  <c r="J386" i="4"/>
  <c r="J413" i="4"/>
  <c r="J425" i="4"/>
  <c r="J440" i="4"/>
  <c r="J266" i="4"/>
  <c r="J278" i="4"/>
  <c r="J281" i="4"/>
  <c r="J293" i="4"/>
  <c r="J308" i="4"/>
  <c r="J347" i="4"/>
  <c r="J365" i="4"/>
  <c r="J377" i="4"/>
  <c r="J395" i="4"/>
  <c r="J410" i="4"/>
  <c r="J422" i="4"/>
  <c r="J434" i="4"/>
  <c r="J305" i="4"/>
  <c r="J329" i="4"/>
  <c r="J356" i="4"/>
  <c r="J392" i="4"/>
  <c r="J404" i="4"/>
  <c r="J419" i="4"/>
  <c r="J431" i="4"/>
  <c r="J383" i="4"/>
  <c r="J263" i="4"/>
  <c r="J275" i="4"/>
  <c r="J350" i="4"/>
  <c r="J257" i="4"/>
  <c r="J380" i="4"/>
  <c r="J251" i="4"/>
  <c r="J248" i="4"/>
  <c r="J260" i="4"/>
  <c r="J272" i="4"/>
  <c r="J344" i="4"/>
  <c r="J371" i="4"/>
  <c r="J254" i="4"/>
  <c r="J239" i="4"/>
  <c r="J245" i="4"/>
  <c r="J236" i="4"/>
  <c r="J233" i="4"/>
  <c r="A23" i="5"/>
  <c r="D68" i="8" l="1"/>
  <c r="A68" i="8"/>
  <c r="D67" i="8"/>
  <c r="A24" i="8"/>
  <c r="A23" i="8"/>
  <c r="C22" i="8"/>
  <c r="C21" i="8"/>
  <c r="A22" i="8"/>
  <c r="A21" i="8"/>
  <c r="H464" i="4" l="1"/>
  <c r="C23" i="8"/>
  <c r="C24" i="8"/>
  <c r="E28" i="5"/>
  <c r="E27" i="5"/>
  <c r="E26" i="5"/>
  <c r="E25" i="5"/>
  <c r="E24" i="5"/>
  <c r="E23" i="5"/>
  <c r="C22" i="6"/>
  <c r="A67" i="8" l="1"/>
  <c r="A66" i="8"/>
  <c r="A65" i="8"/>
  <c r="A64" i="8"/>
  <c r="A63" i="8"/>
  <c r="A62" i="8"/>
  <c r="A61" i="8"/>
  <c r="J10" i="5"/>
  <c r="J11" i="5"/>
  <c r="G10" i="5"/>
  <c r="G11" i="5" l="1"/>
  <c r="G461" i="4"/>
  <c r="C16" i="8" s="1"/>
  <c r="D41" i="8" l="1"/>
  <c r="E14" i="4"/>
  <c r="F14" i="4"/>
  <c r="G14" i="4"/>
  <c r="E17" i="4"/>
  <c r="F17" i="4"/>
  <c r="G17" i="4"/>
  <c r="E20" i="4"/>
  <c r="F20" i="4"/>
  <c r="G20" i="4"/>
  <c r="E23" i="4"/>
  <c r="F23" i="4"/>
  <c r="G23" i="4"/>
  <c r="E26" i="4"/>
  <c r="F26" i="4"/>
  <c r="G26" i="4"/>
  <c r="E29" i="4"/>
  <c r="F29" i="4"/>
  <c r="G29" i="4"/>
  <c r="E32" i="4"/>
  <c r="F32" i="4"/>
  <c r="G32" i="4"/>
  <c r="E35" i="4"/>
  <c r="F35" i="4"/>
  <c r="G35" i="4"/>
  <c r="E38" i="4"/>
  <c r="F38" i="4"/>
  <c r="G38" i="4"/>
  <c r="E41" i="4"/>
  <c r="F41" i="4"/>
  <c r="G41" i="4"/>
  <c r="E44" i="4"/>
  <c r="F44" i="4"/>
  <c r="G44" i="4"/>
  <c r="E47" i="4"/>
  <c r="F47" i="4"/>
  <c r="G47" i="4"/>
  <c r="E50" i="4"/>
  <c r="F50" i="4"/>
  <c r="G50" i="4"/>
  <c r="E53" i="4"/>
  <c r="G53" i="4"/>
  <c r="J53" i="4" s="1"/>
  <c r="E56" i="4"/>
  <c r="F56" i="4"/>
  <c r="G56" i="4"/>
  <c r="E59" i="4"/>
  <c r="F59" i="4"/>
  <c r="G59" i="4"/>
  <c r="J59" i="4" s="1"/>
  <c r="E62" i="4"/>
  <c r="F62" i="4"/>
  <c r="G62" i="4"/>
  <c r="J62" i="4" s="1"/>
  <c r="E65" i="4"/>
  <c r="F65" i="4"/>
  <c r="G65" i="4"/>
  <c r="F68" i="4"/>
  <c r="G68" i="4"/>
  <c r="E71" i="4"/>
  <c r="F71" i="4"/>
  <c r="G71" i="4"/>
  <c r="E74" i="4"/>
  <c r="F74" i="4"/>
  <c r="G74" i="4"/>
  <c r="J74" i="4" s="1"/>
  <c r="E77" i="4"/>
  <c r="F77" i="4"/>
  <c r="G77" i="4"/>
  <c r="J77" i="4" s="1"/>
  <c r="E80" i="4"/>
  <c r="F80" i="4"/>
  <c r="G80" i="4"/>
  <c r="J80" i="4" s="1"/>
  <c r="E83" i="4"/>
  <c r="F83" i="4"/>
  <c r="G83" i="4"/>
  <c r="E86" i="4"/>
  <c r="F86" i="4"/>
  <c r="G86" i="4"/>
  <c r="J86" i="4" s="1"/>
  <c r="E89" i="4"/>
  <c r="F89" i="4"/>
  <c r="G89" i="4"/>
  <c r="J89" i="4" s="1"/>
  <c r="E92" i="4"/>
  <c r="F92" i="4"/>
  <c r="G92" i="4"/>
  <c r="E95" i="4"/>
  <c r="F95" i="4"/>
  <c r="G95" i="4"/>
  <c r="E98" i="4"/>
  <c r="F98" i="4"/>
  <c r="G98" i="4"/>
  <c r="J98" i="4" s="1"/>
  <c r="E101" i="4"/>
  <c r="F101" i="4"/>
  <c r="G101" i="4"/>
  <c r="E104" i="4"/>
  <c r="F104" i="4"/>
  <c r="G104" i="4"/>
  <c r="J104" i="4" s="1"/>
  <c r="E107" i="4"/>
  <c r="F107" i="4"/>
  <c r="G107" i="4"/>
  <c r="E110" i="4"/>
  <c r="F110" i="4"/>
  <c r="G110" i="4"/>
  <c r="J110" i="4" s="1"/>
  <c r="E113" i="4"/>
  <c r="F113" i="4"/>
  <c r="G113" i="4"/>
  <c r="E116" i="4"/>
  <c r="F116" i="4"/>
  <c r="G116" i="4"/>
  <c r="J116" i="4" s="1"/>
  <c r="E119" i="4"/>
  <c r="F119" i="4"/>
  <c r="G119" i="4"/>
  <c r="E122" i="4"/>
  <c r="F122" i="4"/>
  <c r="G122" i="4"/>
  <c r="J122" i="4" s="1"/>
  <c r="E125" i="4"/>
  <c r="F125" i="4"/>
  <c r="G125" i="4"/>
  <c r="E128" i="4"/>
  <c r="F128" i="4"/>
  <c r="G128" i="4"/>
  <c r="J128" i="4" s="1"/>
  <c r="E131" i="4"/>
  <c r="F131" i="4"/>
  <c r="G131" i="4"/>
  <c r="E134" i="4"/>
  <c r="F134" i="4"/>
  <c r="G134" i="4"/>
  <c r="E137" i="4"/>
  <c r="F137" i="4"/>
  <c r="G137" i="4"/>
  <c r="E140" i="4"/>
  <c r="F140" i="4"/>
  <c r="G140" i="4"/>
  <c r="J140" i="4" s="1"/>
  <c r="E143" i="4"/>
  <c r="F143" i="4"/>
  <c r="G143" i="4"/>
  <c r="E146" i="4"/>
  <c r="F146" i="4"/>
  <c r="G146" i="4"/>
  <c r="J146" i="4" s="1"/>
  <c r="E149" i="4"/>
  <c r="F149" i="4"/>
  <c r="G149" i="4"/>
  <c r="E152" i="4"/>
  <c r="F152" i="4"/>
  <c r="G152" i="4"/>
  <c r="J152" i="4" s="1"/>
  <c r="E155" i="4"/>
  <c r="F155" i="4"/>
  <c r="G155" i="4"/>
  <c r="E158" i="4"/>
  <c r="F158" i="4"/>
  <c r="G158" i="4"/>
  <c r="E161" i="4"/>
  <c r="F161" i="4"/>
  <c r="G161" i="4"/>
  <c r="E164" i="4"/>
  <c r="F164" i="4"/>
  <c r="G164" i="4"/>
  <c r="E167" i="4"/>
  <c r="F167" i="4"/>
  <c r="G167" i="4"/>
  <c r="E170" i="4"/>
  <c r="F170" i="4"/>
  <c r="G170" i="4"/>
  <c r="J170" i="4" s="1"/>
  <c r="E173" i="4"/>
  <c r="F173" i="4"/>
  <c r="G173" i="4"/>
  <c r="E176" i="4"/>
  <c r="F176" i="4"/>
  <c r="G176" i="4"/>
  <c r="J176" i="4" s="1"/>
  <c r="E179" i="4"/>
  <c r="F179" i="4"/>
  <c r="G179" i="4"/>
  <c r="F182" i="4"/>
  <c r="G182" i="4"/>
  <c r="E185" i="4"/>
  <c r="F185" i="4"/>
  <c r="G185" i="4"/>
  <c r="J185" i="4" s="1"/>
  <c r="E188" i="4"/>
  <c r="F188" i="4"/>
  <c r="G188" i="4"/>
  <c r="E191" i="4"/>
  <c r="F191" i="4"/>
  <c r="G191" i="4"/>
  <c r="J191" i="4" s="1"/>
  <c r="E194" i="4"/>
  <c r="F194" i="4"/>
  <c r="G194" i="4"/>
  <c r="E197" i="4"/>
  <c r="F197" i="4"/>
  <c r="G197" i="4"/>
  <c r="J197" i="4" s="1"/>
  <c r="E200" i="4"/>
  <c r="F200" i="4"/>
  <c r="G200" i="4"/>
  <c r="E203" i="4"/>
  <c r="F203" i="4"/>
  <c r="G203" i="4"/>
  <c r="J203" i="4" s="1"/>
  <c r="E206" i="4"/>
  <c r="F206" i="4"/>
  <c r="G206" i="4"/>
  <c r="E209" i="4"/>
  <c r="F209" i="4"/>
  <c r="G209" i="4"/>
  <c r="J209" i="4" s="1"/>
  <c r="E212" i="4"/>
  <c r="F212" i="4"/>
  <c r="G212" i="4"/>
  <c r="E215" i="4"/>
  <c r="F215" i="4"/>
  <c r="G215" i="4"/>
  <c r="J215" i="4" s="1"/>
  <c r="E218" i="4"/>
  <c r="F218" i="4"/>
  <c r="G218" i="4"/>
  <c r="E221" i="4"/>
  <c r="F221" i="4"/>
  <c r="G221" i="4"/>
  <c r="J221" i="4" s="1"/>
  <c r="E224" i="4"/>
  <c r="F224" i="4"/>
  <c r="G224" i="4"/>
  <c r="E227" i="4"/>
  <c r="F227" i="4"/>
  <c r="G227" i="4"/>
  <c r="J227" i="4" s="1"/>
  <c r="E230" i="4"/>
  <c r="F230" i="4"/>
  <c r="J230" i="4"/>
  <c r="L464" i="4"/>
  <c r="G464" i="4" l="1"/>
  <c r="G23" i="5"/>
  <c r="B173" i="4"/>
  <c r="J173" i="4"/>
  <c r="B137" i="4"/>
  <c r="J137" i="4"/>
  <c r="B224" i="4"/>
  <c r="J224" i="4"/>
  <c r="B212" i="4"/>
  <c r="J212" i="4"/>
  <c r="B200" i="4"/>
  <c r="J200" i="4"/>
  <c r="B188" i="4"/>
  <c r="J188" i="4"/>
  <c r="B164" i="4"/>
  <c r="J164" i="4"/>
  <c r="B92" i="4"/>
  <c r="J92" i="4"/>
  <c r="B68" i="4"/>
  <c r="J68" i="4"/>
  <c r="B149" i="4"/>
  <c r="J149" i="4"/>
  <c r="B113" i="4"/>
  <c r="J113" i="4"/>
  <c r="B77" i="4"/>
  <c r="B65" i="4"/>
  <c r="J65" i="4"/>
  <c r="B179" i="4"/>
  <c r="J179" i="4"/>
  <c r="B167" i="4"/>
  <c r="J167" i="4"/>
  <c r="B155" i="4"/>
  <c r="J155" i="4"/>
  <c r="B143" i="4"/>
  <c r="J143" i="4"/>
  <c r="B131" i="4"/>
  <c r="J131" i="4"/>
  <c r="B119" i="4"/>
  <c r="J119" i="4"/>
  <c r="B107" i="4"/>
  <c r="J107" i="4"/>
  <c r="B95" i="4"/>
  <c r="J95" i="4"/>
  <c r="B83" i="4"/>
  <c r="J83" i="4"/>
  <c r="B71" i="4"/>
  <c r="J71" i="4"/>
  <c r="B161" i="4"/>
  <c r="J161" i="4"/>
  <c r="B125" i="4"/>
  <c r="J125" i="4"/>
  <c r="B101" i="4"/>
  <c r="J101" i="4"/>
  <c r="B218" i="4"/>
  <c r="J218" i="4"/>
  <c r="B206" i="4"/>
  <c r="J206" i="4"/>
  <c r="B194" i="4"/>
  <c r="J194" i="4"/>
  <c r="B182" i="4"/>
  <c r="J182" i="4"/>
  <c r="B158" i="4"/>
  <c r="J158" i="4"/>
  <c r="B134" i="4"/>
  <c r="J134" i="4"/>
  <c r="B230" i="4"/>
  <c r="J47" i="4"/>
  <c r="B140" i="4"/>
  <c r="B110" i="4"/>
  <c r="J50" i="4"/>
  <c r="J32" i="4"/>
  <c r="J29" i="4"/>
  <c r="J44" i="4"/>
  <c r="J38" i="4"/>
  <c r="J23" i="4"/>
  <c r="J20" i="4"/>
  <c r="J14" i="4"/>
  <c r="B461" i="4"/>
  <c r="B227" i="4"/>
  <c r="B221" i="4"/>
  <c r="B215" i="4"/>
  <c r="B209" i="4"/>
  <c r="B203" i="4"/>
  <c r="B197" i="4"/>
  <c r="B191" i="4"/>
  <c r="B185" i="4"/>
  <c r="B176" i="4"/>
  <c r="B170" i="4"/>
  <c r="B152" i="4"/>
  <c r="B146" i="4"/>
  <c r="B128" i="4"/>
  <c r="B122" i="4"/>
  <c r="B104" i="4"/>
  <c r="B98" i="4"/>
  <c r="B80" i="4"/>
  <c r="B74" i="4"/>
  <c r="J56" i="4"/>
  <c r="J41" i="4"/>
  <c r="J35" i="4"/>
  <c r="J26" i="4"/>
  <c r="J17" i="4"/>
  <c r="E9" i="6"/>
  <c r="C20" i="8"/>
  <c r="C19" i="8"/>
  <c r="C18" i="8"/>
  <c r="C17" i="8"/>
  <c r="A20" i="8"/>
  <c r="A19" i="8"/>
  <c r="A18" i="8"/>
  <c r="A17" i="8"/>
  <c r="J464" i="4" l="1"/>
  <c r="C15" i="8" s="1"/>
  <c r="G24" i="5"/>
  <c r="B23" i="5"/>
  <c r="B5" i="8"/>
  <c r="D5" i="6"/>
  <c r="D4" i="6"/>
  <c r="F5" i="5"/>
  <c r="F4" i="5"/>
  <c r="G25" i="5" l="1"/>
  <c r="B24" i="5"/>
  <c r="C25" i="6"/>
  <c r="B25" i="6"/>
  <c r="A28" i="5"/>
  <c r="G26" i="5" l="1"/>
  <c r="B25" i="5"/>
  <c r="B24" i="6"/>
  <c r="B23" i="6"/>
  <c r="G27" i="5" l="1"/>
  <c r="J27" i="5"/>
  <c r="B26" i="5"/>
  <c r="C27" i="5" l="1"/>
  <c r="G28" i="5"/>
  <c r="F25" i="6"/>
  <c r="G25" i="6" s="1"/>
  <c r="J28" i="5"/>
  <c r="B27" i="5"/>
  <c r="A24" i="5"/>
  <c r="A25" i="5"/>
  <c r="A26" i="5"/>
  <c r="A27" i="5"/>
  <c r="A50" i="5"/>
  <c r="A51" i="5"/>
  <c r="A52" i="5"/>
  <c r="A53" i="5"/>
  <c r="A33" i="5"/>
  <c r="A34" i="5"/>
  <c r="A35" i="5"/>
  <c r="A36" i="5"/>
  <c r="A37" i="5"/>
  <c r="A38" i="5"/>
  <c r="A39" i="5"/>
  <c r="A40" i="5"/>
  <c r="A41" i="5"/>
  <c r="A42" i="5"/>
  <c r="A43" i="5"/>
  <c r="A44" i="5"/>
  <c r="A45" i="5"/>
  <c r="A46" i="5"/>
  <c r="A47" i="5"/>
  <c r="A48" i="5"/>
  <c r="A49" i="5"/>
  <c r="A32" i="5"/>
  <c r="A31" i="5"/>
  <c r="A30" i="5"/>
  <c r="A29" i="5"/>
  <c r="E52" i="5"/>
  <c r="E53" i="5"/>
  <c r="E33" i="5"/>
  <c r="E34" i="5"/>
  <c r="E35" i="5"/>
  <c r="E36" i="5"/>
  <c r="E37" i="5"/>
  <c r="E38" i="5"/>
  <c r="E39" i="5"/>
  <c r="E40" i="5"/>
  <c r="E41" i="5"/>
  <c r="E42" i="5"/>
  <c r="E43" i="5"/>
  <c r="E44" i="5"/>
  <c r="E45" i="5"/>
  <c r="E46" i="5"/>
  <c r="E47" i="5"/>
  <c r="E48" i="5"/>
  <c r="E49" i="5"/>
  <c r="E50" i="5"/>
  <c r="E51" i="5"/>
  <c r="E32" i="5"/>
  <c r="E31" i="5"/>
  <c r="E30" i="5"/>
  <c r="J53" i="5"/>
  <c r="J52" i="5"/>
  <c r="J33" i="5"/>
  <c r="G33" i="5" s="1"/>
  <c r="J34" i="5"/>
  <c r="G34" i="5" s="1"/>
  <c r="J35" i="5"/>
  <c r="G35" i="5" s="1"/>
  <c r="J36" i="5"/>
  <c r="G36" i="5" s="1"/>
  <c r="J37" i="5"/>
  <c r="G37" i="5" s="1"/>
  <c r="J38" i="5"/>
  <c r="G38" i="5" s="1"/>
  <c r="J39" i="5"/>
  <c r="G39" i="5" s="1"/>
  <c r="J40" i="5"/>
  <c r="G40" i="5" s="1"/>
  <c r="J41" i="5"/>
  <c r="G41" i="5" s="1"/>
  <c r="J42" i="5"/>
  <c r="G42" i="5" s="1"/>
  <c r="J43" i="5"/>
  <c r="G43" i="5" s="1"/>
  <c r="J44" i="5"/>
  <c r="G44" i="5" s="1"/>
  <c r="J45" i="5"/>
  <c r="G45" i="5" s="1"/>
  <c r="J46" i="5"/>
  <c r="G46" i="5" s="1"/>
  <c r="J47" i="5"/>
  <c r="G47" i="5" s="1"/>
  <c r="J48" i="5"/>
  <c r="G48" i="5" s="1"/>
  <c r="J49" i="5"/>
  <c r="G49" i="5" s="1"/>
  <c r="J50" i="5"/>
  <c r="G50" i="5" s="1"/>
  <c r="J51" i="5"/>
  <c r="G51" i="5" s="1"/>
  <c r="J32" i="5"/>
  <c r="G32" i="5" s="1"/>
  <c r="J31" i="5"/>
  <c r="G31" i="5" s="1"/>
  <c r="J30" i="5"/>
  <c r="G30" i="5" s="1"/>
  <c r="B28" i="5" l="1"/>
  <c r="C28" i="5"/>
  <c r="C49" i="5"/>
  <c r="B49" i="5"/>
  <c r="C41" i="5"/>
  <c r="B41" i="5"/>
  <c r="C44" i="5"/>
  <c r="B44" i="5"/>
  <c r="C36" i="5"/>
  <c r="B36" i="5"/>
  <c r="C47" i="5"/>
  <c r="B47" i="5"/>
  <c r="C43" i="5"/>
  <c r="B43" i="5"/>
  <c r="C39" i="5"/>
  <c r="B39" i="5"/>
  <c r="C35" i="5"/>
  <c r="B35" i="5"/>
  <c r="C45" i="5"/>
  <c r="B45" i="5"/>
  <c r="C37" i="5"/>
  <c r="B37" i="5"/>
  <c r="C48" i="5"/>
  <c r="B48" i="5"/>
  <c r="C40" i="5"/>
  <c r="B40" i="5"/>
  <c r="C51" i="5"/>
  <c r="B51" i="5"/>
  <c r="C50" i="5"/>
  <c r="B50" i="5"/>
  <c r="C46" i="5"/>
  <c r="B46" i="5"/>
  <c r="C42" i="5"/>
  <c r="B42" i="5"/>
  <c r="C38" i="5"/>
  <c r="B38" i="5"/>
  <c r="C30" i="5"/>
  <c r="D62" i="8"/>
  <c r="B30" i="5"/>
  <c r="C34" i="5"/>
  <c r="D66" i="8"/>
  <c r="B34" i="5"/>
  <c r="C33" i="5"/>
  <c r="B33" i="5"/>
  <c r="D65" i="8"/>
  <c r="C32" i="5"/>
  <c r="D64" i="8"/>
  <c r="B32" i="5"/>
  <c r="C31" i="5"/>
  <c r="D63" i="8"/>
  <c r="B31" i="5"/>
  <c r="G52" i="5"/>
  <c r="B52" i="5" s="1"/>
  <c r="G53" i="5"/>
  <c r="B53" i="5" s="1"/>
  <c r="C53" i="5" l="1"/>
  <c r="C52" i="5"/>
  <c r="J12" i="5"/>
  <c r="E12" i="5"/>
  <c r="G12" i="5" l="1"/>
  <c r="B12" i="5" s="1"/>
  <c r="C12" i="5" l="1"/>
  <c r="J23" i="5"/>
  <c r="J29" i="5"/>
  <c r="J26" i="5"/>
  <c r="C26" i="5" s="1"/>
  <c r="J25" i="5"/>
  <c r="C25" i="5" s="1"/>
  <c r="J24" i="5"/>
  <c r="C24" i="5" s="1"/>
  <c r="M76" i="9"/>
  <c r="E29" i="5"/>
  <c r="C24" i="6"/>
  <c r="C23" i="6"/>
  <c r="C21" i="6"/>
  <c r="C20" i="6"/>
  <c r="G29" i="5" l="1"/>
  <c r="C29" i="5" s="1"/>
  <c r="J54" i="5"/>
  <c r="B11" i="5"/>
  <c r="C23" i="5"/>
  <c r="F21" i="6"/>
  <c r="G21" i="6" s="1"/>
  <c r="F23" i="6"/>
  <c r="G23" i="6" s="1"/>
  <c r="F20" i="6"/>
  <c r="G20" i="6" s="1"/>
  <c r="F22" i="6"/>
  <c r="G22" i="6" s="1"/>
  <c r="F24" i="6"/>
  <c r="G24" i="6" s="1"/>
  <c r="D61" i="8" l="1"/>
  <c r="B29" i="5"/>
  <c r="D43" i="8"/>
  <c r="C11" i="5"/>
  <c r="C10" i="5" l="1"/>
  <c r="B10" i="5"/>
  <c r="H9" i="6"/>
  <c r="D42" i="8" l="1"/>
  <c r="F26" i="6" l="1"/>
  <c r="H9" i="5" l="1"/>
  <c r="D9" i="6"/>
  <c r="C13" i="8" l="1"/>
  <c r="H54" i="5"/>
  <c r="D26" i="6"/>
  <c r="I9" i="5"/>
  <c r="I54" i="5" s="1"/>
  <c r="E26" i="6"/>
  <c r="D39" i="8" l="1"/>
  <c r="G9" i="6"/>
  <c r="I9" i="6" s="1"/>
  <c r="G9" i="5"/>
  <c r="B9" i="5" s="1"/>
  <c r="C14" i="8"/>
  <c r="C34" i="8" s="1"/>
  <c r="G26" i="6" l="1"/>
  <c r="C9" i="5"/>
  <c r="G54" i="5"/>
  <c r="D40" i="8"/>
  <c r="D87" i="8" s="1"/>
  <c r="E89" i="8" s="1"/>
</calcChain>
</file>

<file path=xl/sharedStrings.xml><?xml version="1.0" encoding="utf-8"?>
<sst xmlns="http://schemas.openxmlformats.org/spreadsheetml/2006/main" count="276" uniqueCount="228">
  <si>
    <t>SANTA IGLESIA GNÓSTICA CRISTIANA UNIVERSAL SAMAEL AUN WEOR DE COLOMBIA</t>
  </si>
  <si>
    <t>FECHA</t>
  </si>
  <si>
    <t xml:space="preserve">RECIBO DE CAJA  No </t>
  </si>
  <si>
    <t>BENEFICIARIO</t>
  </si>
  <si>
    <t>No DE CÉDULA</t>
  </si>
  <si>
    <t>CAJA</t>
  </si>
  <si>
    <t>CUENTAS VARIAS</t>
  </si>
  <si>
    <t>DETALLE</t>
  </si>
  <si>
    <t>VALOR</t>
  </si>
  <si>
    <t>TOTALES</t>
  </si>
  <si>
    <t>FORMARA 1006</t>
  </si>
  <si>
    <r>
      <rPr>
        <b/>
        <sz val="9"/>
        <color indexed="8"/>
        <rFont val="Calibri"/>
        <family val="2"/>
      </rPr>
      <t>NOTA:</t>
    </r>
    <r>
      <rPr>
        <sz val="9"/>
        <color theme="1"/>
        <rFont val="Calibri"/>
        <family val="2"/>
        <scheme val="minor"/>
      </rPr>
      <t xml:space="preserve"> DEBE REPORTARSE LA TOTALIDAD DE LOS INGRESOS RECIBIDOS POR EL LUMISIAL.</t>
    </r>
  </si>
  <si>
    <t>RELACIÓN DE PAGOS O EGRESOS DE TESORERÍA</t>
  </si>
  <si>
    <t>COMPROBANTE DE EGRESO No</t>
  </si>
  <si>
    <r>
      <t> </t>
    </r>
    <r>
      <rPr>
        <b/>
        <sz val="10"/>
        <color indexed="8"/>
        <rFont val="Calibri"/>
        <family val="2"/>
      </rPr>
      <t>TOTALES</t>
    </r>
  </si>
  <si>
    <r>
      <rPr>
        <b/>
        <sz val="9"/>
        <color indexed="8"/>
        <rFont val="Calibri"/>
        <family val="2"/>
      </rPr>
      <t>NOTA 2:</t>
    </r>
    <r>
      <rPr>
        <sz val="9"/>
        <color theme="1"/>
        <rFont val="Calibri"/>
        <family val="2"/>
        <scheme val="minor"/>
      </rPr>
      <t xml:space="preserve"> RELACIONAR LOS PAGOS REPORTADOS EN EL FORMATO FORMARA 1008.</t>
    </r>
  </si>
  <si>
    <t>DIÓCESIS.</t>
  </si>
  <si>
    <t>RELACIÓN DE ENTREGA DE FONDOS</t>
  </si>
  <si>
    <t>No</t>
  </si>
  <si>
    <t>OTROS</t>
  </si>
  <si>
    <t>TOTAL</t>
  </si>
  <si>
    <t>No DE  APORTANTES</t>
  </si>
  <si>
    <t xml:space="preserve">PROMEDIO DE APORTES POR PERSONA  </t>
  </si>
  <si>
    <t>OBSERVACIONES</t>
  </si>
  <si>
    <t>FORMARA 1008</t>
  </si>
  <si>
    <t>CUADRE DE CAJA</t>
  </si>
  <si>
    <t>Ingresos</t>
  </si>
  <si>
    <t>Misión Diócesis</t>
  </si>
  <si>
    <t>Aportes  Lumisial</t>
  </si>
  <si>
    <t>Egresos o pagos</t>
  </si>
  <si>
    <t>Saldo en caja es igual al saldo inicial, más total de recibos de caja, menos egresos o pagos.</t>
  </si>
  <si>
    <t>Relación de cuentas por pagar</t>
  </si>
  <si>
    <t>Relación de cuentas por cobrar</t>
  </si>
  <si>
    <t>FORMARA 1004</t>
  </si>
  <si>
    <t>No.</t>
  </si>
  <si>
    <t>CONCEPTO</t>
  </si>
  <si>
    <t>No. Cuotas</t>
  </si>
  <si>
    <t>TOTAL INGRESOS</t>
  </si>
  <si>
    <t>APORTES LUMISIAL</t>
  </si>
  <si>
    <t>-</t>
  </si>
  <si>
    <t>ENERO</t>
  </si>
  <si>
    <t>FEBRERO</t>
  </si>
  <si>
    <t>MARZO</t>
  </si>
  <si>
    <t>ABRIL</t>
  </si>
  <si>
    <t>MAYO</t>
  </si>
  <si>
    <t>JUNIO</t>
  </si>
  <si>
    <t>JULIO</t>
  </si>
  <si>
    <t>AGOSTO</t>
  </si>
  <si>
    <t>SEPTIEMBRE</t>
  </si>
  <si>
    <t>OCTUBRE</t>
  </si>
  <si>
    <t>NOVIEMBRE</t>
  </si>
  <si>
    <t>DICIEMBRE</t>
  </si>
  <si>
    <t>HUILA NORTE</t>
  </si>
  <si>
    <t>AGNI</t>
  </si>
  <si>
    <t>ANAEL</t>
  </si>
  <si>
    <t>ATMAN</t>
  </si>
  <si>
    <t>GEBURAH</t>
  </si>
  <si>
    <t>HUIRACOCHA</t>
  </si>
  <si>
    <t>LOS SILFOS</t>
  </si>
  <si>
    <t>LUZ ALBA</t>
  </si>
  <si>
    <t>MICHAEL</t>
  </si>
  <si>
    <t>ORIFIEL</t>
  </si>
  <si>
    <t>RABOLU</t>
  </si>
  <si>
    <t>SARASWATI</t>
  </si>
  <si>
    <t>SARDIS</t>
  </si>
  <si>
    <t>SIVANANDA</t>
  </si>
  <si>
    <t>MAHA LAKHSMI</t>
  </si>
  <si>
    <t>SAN MIGUEL</t>
  </si>
  <si>
    <t>TIPHERET</t>
  </si>
  <si>
    <t>ZACHARIEL</t>
  </si>
  <si>
    <t>Impuestos</t>
  </si>
  <si>
    <t>Servicios Públicos</t>
  </si>
  <si>
    <t>TOTAL EGRESOS</t>
  </si>
  <si>
    <t>SALIDAS DE ADMINISTRACION</t>
  </si>
  <si>
    <t>TOTAL SALIDAS FORMATO 1008</t>
  </si>
  <si>
    <t>SALIDAS LUMISIAL</t>
  </si>
  <si>
    <t>TOTAL SALIDAS LUMISIAL</t>
  </si>
  <si>
    <t>Servicio Público de Agua</t>
  </si>
  <si>
    <t>Servicio Público de Gas</t>
  </si>
  <si>
    <t>Servicio Público de Energía</t>
  </si>
  <si>
    <t>Aportes a la Diocesis</t>
  </si>
  <si>
    <t>CUOTA ESTATUTARIA</t>
  </si>
  <si>
    <t>TOTAL CUENTAS POR COBRAR</t>
  </si>
  <si>
    <t>TOTAL CUENTAS POR PAGAR</t>
  </si>
  <si>
    <t>INTRODUCCION</t>
  </si>
  <si>
    <t>Esta tabla se llenara de la siguiente forma:</t>
  </si>
  <si>
    <t>- FLORES MONASTERIO LAKSHMI DAIMON</t>
  </si>
  <si>
    <t>- TEMPLO DIVINO DAIMON</t>
  </si>
  <si>
    <t>- APOYO V.M. TAHUIL</t>
  </si>
  <si>
    <t>- FLORES TEMPLO DE CURACION</t>
  </si>
  <si>
    <t>- VALLAS</t>
  </si>
  <si>
    <t>mas de una cuota.</t>
  </si>
  <si>
    <t>En esta casilla se debe colocar el número de cuotas las cuales se están aportando. Esta casilla es exclusivamente para aquellas personas que en un determinado mes aportan</t>
  </si>
  <si>
    <t>NOTA:</t>
  </si>
  <si>
    <r>
      <t xml:space="preserve">NOTA:  </t>
    </r>
    <r>
      <rPr>
        <sz val="11"/>
        <color theme="1"/>
        <rFont val="Calibri"/>
        <family val="2"/>
        <scheme val="minor"/>
      </rPr>
      <t/>
    </r>
  </si>
  <si>
    <t>OBSERVACIONES:</t>
  </si>
  <si>
    <t>-FECHA</t>
  </si>
  <si>
    <t>No. CEDULA</t>
  </si>
  <si>
    <t>-CUENTAS VARIAS</t>
  </si>
  <si>
    <r>
      <t>El presente</t>
    </r>
    <r>
      <rPr>
        <b/>
        <i/>
        <sz val="11"/>
        <color theme="1"/>
        <rFont val="Calibri"/>
        <family val="2"/>
        <scheme val="minor"/>
      </rPr>
      <t xml:space="preserve"> FORMATO</t>
    </r>
    <r>
      <rPr>
        <i/>
        <sz val="11"/>
        <color theme="1"/>
        <rFont val="Calibri"/>
        <family val="2"/>
        <scheme val="minor"/>
      </rPr>
      <t xml:space="preserve">  es elaborado con el fin de facilitar y agilizar el proceso en el que incurre el Tesorero y la Junta Administrativa de cada uno de los LUMISIALES a la hora de  diligenciar</t>
    </r>
  </si>
  <si>
    <r>
      <rPr>
        <b/>
        <i/>
        <sz val="11"/>
        <color theme="1"/>
        <rFont val="Calibri"/>
        <family val="2"/>
        <scheme val="minor"/>
      </rPr>
      <t xml:space="preserve">1. </t>
    </r>
    <r>
      <rPr>
        <i/>
        <sz val="11"/>
        <color theme="1"/>
        <rFont val="Calibri"/>
        <family val="2"/>
        <scheme val="minor"/>
      </rPr>
      <t>EL VALOR INGRESADO DEBE CORRESPONDER A NUMEROS,</t>
    </r>
    <r>
      <rPr>
        <b/>
        <i/>
        <sz val="12"/>
        <color theme="1"/>
        <rFont val="Calibri"/>
        <family val="2"/>
        <scheme val="minor"/>
      </rPr>
      <t xml:space="preserve"> NO A LETRAS</t>
    </r>
  </si>
  <si>
    <r>
      <rPr>
        <b/>
        <i/>
        <sz val="11"/>
        <color theme="1"/>
        <rFont val="Calibri"/>
        <family val="2"/>
        <scheme val="minor"/>
      </rPr>
      <t>2.</t>
    </r>
    <r>
      <rPr>
        <i/>
        <sz val="11"/>
        <color theme="1"/>
        <rFont val="Calibri"/>
        <family val="2"/>
        <scheme val="minor"/>
      </rPr>
      <t xml:space="preserve"> SI LA PERSONA ESTA CANCELANDO UNA SOLA CUOTA NO ES NECESARIO COLOCAR </t>
    </r>
    <r>
      <rPr>
        <b/>
        <i/>
        <sz val="11"/>
        <color theme="1"/>
        <rFont val="Calibri"/>
        <family val="2"/>
        <scheme val="minor"/>
      </rPr>
      <t>"1".</t>
    </r>
  </si>
  <si>
    <r>
      <t xml:space="preserve">los diferentes formatos establecidos por la </t>
    </r>
    <r>
      <rPr>
        <b/>
        <i/>
        <sz val="11"/>
        <color theme="1"/>
        <rFont val="Calibri"/>
        <family val="2"/>
        <scheme val="minor"/>
      </rPr>
      <t xml:space="preserve">SANTA IGLESIA GNOSTICA CRISTIANA UNIVERSAL SAMAEL AUN WEOR </t>
    </r>
    <r>
      <rPr>
        <i/>
        <sz val="11"/>
        <color theme="1"/>
        <rFont val="Calibri"/>
        <family val="2"/>
        <scheme val="minor"/>
      </rPr>
      <t>para el desarrollo organizacional interno de la Institucion.</t>
    </r>
  </si>
  <si>
    <r>
      <t xml:space="preserve">Las </t>
    </r>
    <r>
      <rPr>
        <b/>
        <i/>
        <sz val="11"/>
        <color theme="1"/>
        <rFont val="Calibri"/>
        <family val="2"/>
        <scheme val="minor"/>
      </rPr>
      <t>SALIDAS</t>
    </r>
    <r>
      <rPr>
        <i/>
        <sz val="11"/>
        <color theme="1"/>
        <rFont val="Calibri"/>
        <family val="2"/>
        <scheme val="minor"/>
      </rPr>
      <t xml:space="preserve"> constituyen los montos de dinero en que incurre el LUMISIAL  para su mantenimiento y funcionamiento así como también lo que destina  para la DIOCESIS, </t>
    </r>
  </si>
  <si>
    <t>y la SEDE NACIONAL.</t>
  </si>
  <si>
    <t>-SALIDAS DE ADMINISTRACION</t>
  </si>
  <si>
    <t>-SALIDAS LUMISIAL</t>
  </si>
  <si>
    <t>en cada una de ellas con los diferentes formatos.</t>
  </si>
  <si>
    <r>
      <t xml:space="preserve">El siguiente </t>
    </r>
    <r>
      <rPr>
        <b/>
        <i/>
        <sz val="11"/>
        <color theme="1"/>
        <rFont val="Calibri"/>
        <family val="2"/>
        <scheme val="minor"/>
      </rPr>
      <t>FORMATO</t>
    </r>
    <r>
      <rPr>
        <i/>
        <sz val="11"/>
        <color theme="1"/>
        <rFont val="Calibri"/>
        <family val="2"/>
        <scheme val="minor"/>
      </rPr>
      <t xml:space="preserve"> cuenta con una protección interna de bloqueo de celdas para evitar accidentes que puedan eliminar una o varias fórmulas y se pierda el enlace que hay </t>
    </r>
  </si>
  <si>
    <t xml:space="preserve">ESTOS ITEMS NO PUEDEN SER ELIMINADOS NI MODIFICADOS. </t>
  </si>
  <si>
    <r>
      <t xml:space="preserve">SOLO SE PUEDE MODIFICAR O AGREGAR EL ULTIMO DENOMINADO " ARRIENDO LUMISIAL", AL CUAL SE LE PUEDE CAMBIAR EL NOMBRE A </t>
    </r>
    <r>
      <rPr>
        <b/>
        <i/>
        <sz val="11"/>
        <color theme="1"/>
        <rFont val="Calibri"/>
        <family val="2"/>
        <scheme val="minor"/>
      </rPr>
      <t>"CUOTA LUMISIAL"</t>
    </r>
  </si>
  <si>
    <t>O SIMPLEMENTE SE PUEDE ELIMINAR. ESO DEPENDE DE LAS CONDICIONES EN QUE SE ENCUENTRE CADA LUMISIAL.</t>
  </si>
  <si>
    <t>Solo requiere que se coloque la fecha en que se realizó dicha salida o pago y el valor correspondiente.</t>
  </si>
  <si>
    <t>-RECIBO DE CAJA No.</t>
  </si>
  <si>
    <t>que se tenia en el mes inmediatamente anterior al cual se está reportando la información.</t>
  </si>
  <si>
    <t xml:space="preserve">AL FINAL DEL FORMATO 1004 SE PUEDE REALIZAR LA RELACION DE CUENTAS POR COBRAR Y CUENTAS POR PAGAR DEPENDIENDO DE SI EL LUMISIAL CUENTA O NO CON ESTOS </t>
  </si>
  <si>
    <t>CONCEPTOS.</t>
  </si>
  <si>
    <t>NOTA</t>
  </si>
  <si>
    <t>TODAS LAS SALIDAS DE DINERO DEBEN ESTAR SOPORTADAS POR EL COMPROBANTE DE EGRESO Y LA FACTURA DE COMPRA CORRESPONDIENTE A DICHA SALIDA.</t>
  </si>
  <si>
    <t>ACTIVIDADES LUMISIAL</t>
  </si>
  <si>
    <t>Actividades Lumisial</t>
  </si>
  <si>
    <t>OTRAS ENTRADAS</t>
  </si>
  <si>
    <r>
      <t xml:space="preserve">Una vez se ingrese la </t>
    </r>
    <r>
      <rPr>
        <b/>
        <i/>
        <sz val="11"/>
        <color theme="1"/>
        <rFont val="Calibri"/>
        <family val="2"/>
        <scheme val="minor"/>
      </rPr>
      <t>TOTALIDAD</t>
    </r>
    <r>
      <rPr>
        <i/>
        <sz val="11"/>
        <color theme="1"/>
        <rFont val="Calibri"/>
        <family val="2"/>
        <scheme val="minor"/>
      </rPr>
      <t xml:space="preserve"> de las </t>
    </r>
    <r>
      <rPr>
        <b/>
        <i/>
        <sz val="11"/>
        <color theme="1"/>
        <rFont val="Calibri"/>
        <family val="2"/>
        <scheme val="minor"/>
      </rPr>
      <t>ENTRADAS</t>
    </r>
    <r>
      <rPr>
        <i/>
        <sz val="11"/>
        <color theme="1"/>
        <rFont val="Calibri"/>
        <family val="2"/>
        <scheme val="minor"/>
      </rPr>
      <t xml:space="preserve"> correspondientes a los </t>
    </r>
    <r>
      <rPr>
        <b/>
        <i/>
        <sz val="11"/>
        <color theme="1"/>
        <rFont val="Calibri"/>
        <family val="2"/>
        <scheme val="minor"/>
      </rPr>
      <t xml:space="preserve">APORTES </t>
    </r>
    <r>
      <rPr>
        <i/>
        <sz val="11"/>
        <color theme="1"/>
        <rFont val="Calibri"/>
        <family val="2"/>
        <scheme val="minor"/>
      </rPr>
      <t xml:space="preserve">y </t>
    </r>
    <r>
      <rPr>
        <b/>
        <i/>
        <sz val="11"/>
        <color theme="1"/>
        <rFont val="Calibri"/>
        <family val="2"/>
        <scheme val="minor"/>
      </rPr>
      <t>OTRAS ENTRADAS</t>
    </r>
    <r>
      <rPr>
        <i/>
        <sz val="11"/>
        <color theme="1"/>
        <rFont val="Calibri"/>
        <family val="2"/>
        <scheme val="minor"/>
      </rPr>
      <t xml:space="preserve"> recibidas por el  Lumisial, se debe proceder</t>
    </r>
  </si>
  <si>
    <t>-ACTIVIDADES LUMISIAL</t>
  </si>
  <si>
    <t>APORTES</t>
  </si>
  <si>
    <t>MISION DIOCESIS</t>
  </si>
  <si>
    <t>MISIÓN DIÓCESIS</t>
  </si>
  <si>
    <t>Cuota Estatutaria</t>
  </si>
  <si>
    <t xml:space="preserve"> RECIBOS DE CAJA</t>
  </si>
  <si>
    <t>SANTUARIO:</t>
  </si>
  <si>
    <t xml:space="preserve">DIÓCESIS: </t>
  </si>
  <si>
    <t>MES Y AÑO:</t>
  </si>
  <si>
    <t>APELLIDO(S) NOMBRE(S)</t>
  </si>
  <si>
    <t>CODIGO DEL SANT:</t>
  </si>
  <si>
    <t>Aporte del mes a Diocesis</t>
  </si>
  <si>
    <t>SOLO SE DEBEN REGISTRAR PERSONAS MAYORES DE EDAD</t>
  </si>
  <si>
    <t xml:space="preserve">Donde se debe colocar el número consecutivo del comprobante de egreso correspondiente </t>
  </si>
  <si>
    <t>Impuesto predial</t>
  </si>
  <si>
    <t>GASTOS LUMISIAL</t>
  </si>
  <si>
    <t>- CONFERENCIAS PUBLICAS</t>
  </si>
  <si>
    <t>- CARNE</t>
  </si>
  <si>
    <t>-LIBROS</t>
  </si>
  <si>
    <t>3 SI LA PERSONA ESTA CANCELANDO MAS DE UNA CUOTA, SE COLOCARA EL NUMERO DE LAS CUOTAS ENTRAGAS EJEMPLO:  2 0 3 CUOTAS ATRASADAS</t>
  </si>
  <si>
    <t>QUE CUMPLA CON LAS CONDICIONES LEGALES DE DICHO SOPORTE O RECIBO DE CAJA FIRMADO POR EL RESPONSABLE O BENEFICIARIO.</t>
  </si>
  <si>
    <r>
      <rPr>
        <b/>
        <i/>
        <sz val="11"/>
        <color theme="1"/>
        <rFont val="Calibri"/>
        <family val="2"/>
        <scheme val="minor"/>
      </rPr>
      <t>1.</t>
    </r>
    <r>
      <rPr>
        <i/>
        <sz val="11"/>
        <color theme="1"/>
        <rFont val="Calibri"/>
        <family val="2"/>
        <scheme val="minor"/>
      </rPr>
      <t xml:space="preserve"> LAS SALIDAS REALIZADAS PARA EL MANTENIMIENTO Y FUNCIONAMIENTO DEL LUMISIAL DEBEN ESTAR SOPORTADAS POR UNA </t>
    </r>
    <r>
      <rPr>
        <b/>
        <i/>
        <sz val="11"/>
        <color theme="1"/>
        <rFont val="Calibri"/>
        <family val="2"/>
        <scheme val="minor"/>
      </rPr>
      <t>FACTURA DE COMPRA ( A NOMBRE DE LA PERSONA ENCARGADA O TESORERO)</t>
    </r>
  </si>
  <si>
    <r>
      <t xml:space="preserve">Una vez se ingrese la </t>
    </r>
    <r>
      <rPr>
        <b/>
        <i/>
        <sz val="11"/>
        <color theme="1"/>
        <rFont val="Calibri"/>
        <family val="2"/>
        <scheme val="minor"/>
      </rPr>
      <t>TOTALIDAD</t>
    </r>
    <r>
      <rPr>
        <i/>
        <sz val="11"/>
        <color theme="1"/>
        <rFont val="Calibri"/>
        <family val="2"/>
        <scheme val="minor"/>
      </rPr>
      <t xml:space="preserve"> de las </t>
    </r>
    <r>
      <rPr>
        <b/>
        <i/>
        <sz val="11"/>
        <color theme="1"/>
        <rFont val="Calibri"/>
        <family val="2"/>
        <scheme val="minor"/>
      </rPr>
      <t>SALIDAS</t>
    </r>
    <r>
      <rPr>
        <i/>
        <sz val="11"/>
        <color theme="1"/>
        <rFont val="Calibri"/>
        <family val="2"/>
        <scheme val="minor"/>
      </rPr>
      <t xml:space="preserve"> correspondientes </t>
    </r>
    <r>
      <rPr>
        <b/>
        <i/>
        <sz val="11"/>
        <color theme="1"/>
        <rFont val="Calibri"/>
        <family val="2"/>
        <scheme val="minor"/>
      </rPr>
      <t>ADMINISTRATIVAS, FORMATO 1008 Y LAS DEL LUMISIAL</t>
    </r>
    <r>
      <rPr>
        <i/>
        <sz val="11"/>
        <color theme="1"/>
        <rFont val="Calibri"/>
        <family val="2"/>
        <scheme val="minor"/>
      </rPr>
      <t>, se debe proceder</t>
    </r>
  </si>
  <si>
    <t>FORMARA 1007</t>
  </si>
  <si>
    <t>Recibos de caja del No.</t>
  </si>
  <si>
    <t xml:space="preserve">Comprobantes de pago del No. </t>
  </si>
  <si>
    <t>AL No.</t>
  </si>
  <si>
    <t>al No.</t>
  </si>
  <si>
    <t>Arriendo/ Pago cuota Lumisial</t>
  </si>
  <si>
    <t>Servicio Telefonia e Internet</t>
  </si>
  <si>
    <t>Los INGRESOS  constituyen los montos de dineros aportados por cada una de las personas o integrantes de la SANTA IGLESIA GNOSTICA CRISTIANA UNIVERSAL SAMAEL AUN WEOR, asistentes a los LUMISIALES  adscritos a nuestra Sagrada Institución.</t>
  </si>
  <si>
    <r>
      <t xml:space="preserve">Corresponde a cada uno de los nombres de los aportantes de LA IGLESIA en nuestros </t>
    </r>
    <r>
      <rPr>
        <b/>
        <i/>
        <sz val="11"/>
        <color theme="1"/>
        <rFont val="Calibri"/>
        <family val="2"/>
        <scheme val="minor"/>
      </rPr>
      <t xml:space="preserve">LUMISIALES. </t>
    </r>
    <r>
      <rPr>
        <i/>
        <sz val="11"/>
        <color theme="1"/>
        <rFont val="Calibri"/>
        <family val="2"/>
        <scheme val="minor"/>
      </rPr>
      <t>Por lo tanto en esta columna se registrara el nombre del aportante</t>
    </r>
  </si>
  <si>
    <t xml:space="preserve">LOS NOMBRES DE LAS PERSONAS DEBEN IR TODOS EN MAYUSCULA, INICIANDO POR EL PRIMER APELLIDO, SEGUNDO APELLIDO, PRIMER NOMBRE Y SEGUNDO </t>
  </si>
  <si>
    <t>NOMBRE, DEBE IR NOMBRE COMPLETO COMO ESTA EN EL DOCUMENTO DE IDENTIFICACION</t>
  </si>
  <si>
    <t>EJEMPLO: PEREZ ARRIETA PEDRO ANDRES</t>
  </si>
  <si>
    <t>- APOYO APERTURA SANTUARIO NUEVO EN LA DIOCESIS</t>
  </si>
  <si>
    <t>_APOYO CONVIVENCIA DIOCESANA</t>
  </si>
  <si>
    <t>_MANTENIMIENTO LOCATIVOS SANTUARIO</t>
  </si>
  <si>
    <t>EJEMPLOS</t>
  </si>
  <si>
    <t>- COMPRA  VIDEO BEAM</t>
  </si>
  <si>
    <t>Se debe registrar la fecha de elaboración del recibo. Este campo se digita manualmente.</t>
  </si>
  <si>
    <r>
      <t xml:space="preserve">DEBE REGISTRARSE SOLO EL </t>
    </r>
    <r>
      <rPr>
        <b/>
        <i/>
        <sz val="11"/>
        <color theme="1"/>
        <rFont val="Calibri"/>
        <family val="2"/>
        <scheme val="minor"/>
      </rPr>
      <t>TOTAL</t>
    </r>
    <r>
      <rPr>
        <i/>
        <sz val="11"/>
        <color theme="1"/>
        <rFont val="Calibri"/>
        <family val="2"/>
        <scheme val="minor"/>
      </rPr>
      <t xml:space="preserve"> DEL  DINERO RECOGIDO  DE TODAS LAS PERSONAS POR CADA UNO DE LOS CONCEPTOS O ITEMS EN EL MES.</t>
    </r>
  </si>
  <si>
    <t xml:space="preserve">formato. </t>
  </si>
  <si>
    <t>Se registran las actividades realizadas EN CADA LUMISIAL, para recoger fondos para el sostenimiento Y/O mantenimiento economico del mismo. Ejemplo: Recolectas, Donaciones, Amuerzos, Asados,</t>
  </si>
  <si>
    <t>NOTA: SE DEBE REGISTRAR EL VALOR TOTAL DE LAS ACTIVIDADES, RECOLECTAS, DONACIONES REALIZADAS EN EL MES.</t>
  </si>
  <si>
    <t xml:space="preserve"> Cooperativa, vendimias etc. Se escribira el valor total del mes al frente de cada actividad. La sumatoria de estas actividades aparecera en la columna CAJA en actividades lumisial.</t>
  </si>
  <si>
    <t>Esta tabla esta separada en tres secciones:</t>
  </si>
  <si>
    <t>EL TOTAL DE LOS GASTOS ADMINISTRATIVOS APARECE EN EL FORMARA 1007 EGRESOS.</t>
  </si>
  <si>
    <t xml:space="preserve">En esta sección se encuentra a detalle cada uno de los items correspondientes a GASTOS O SALIDAS de la parte ADMINISTRATIVA del Lumisial </t>
  </si>
  <si>
    <t>En esta sección se debe relacionar cada uno de los items y el valor TOTAL correspondiente a cada uno de los conceptos por los cuales se le entrega dinero al</t>
  </si>
  <si>
    <r>
      <t xml:space="preserve">ESTOS CONCEPTOS Y VALORES DEBEN COINCIDIR CON LOS QUE SE INGRESARON EN EL </t>
    </r>
    <r>
      <rPr>
        <b/>
        <i/>
        <sz val="11"/>
        <color theme="1"/>
        <rFont val="Calibri"/>
        <family val="2"/>
        <scheme val="minor"/>
      </rPr>
      <t>FORMARA 1006</t>
    </r>
    <r>
      <rPr>
        <i/>
        <sz val="11"/>
        <color theme="1"/>
        <rFont val="Calibri"/>
        <family val="2"/>
        <scheme val="minor"/>
      </rPr>
      <t xml:space="preserve"> EN LA CASILLA DENOMINADA </t>
    </r>
    <r>
      <rPr>
        <b/>
        <i/>
        <sz val="11"/>
        <color theme="1"/>
        <rFont val="Calibri"/>
        <family val="2"/>
        <scheme val="minor"/>
      </rPr>
      <t>"CUENTAS VARIAS" Y EN EL CUADRO DE " OTRAS ENTRADAS."</t>
    </r>
  </si>
  <si>
    <t>En esta última sección se deben registrar las salidas o gastos en que incurre el Lumisial para su mantenimiento y funcionamiento mensual.( Utiles de aseo, velas, flores, reparaciones locativas,</t>
  </si>
  <si>
    <t xml:space="preserve"> uvas, desechables, etc.GASTOS OFICIO LITURGICO)</t>
  </si>
  <si>
    <t>Detallando la fecha en que se realiza la salida, el concepto y el valor correspondiente a dicha salida, de forma manual.</t>
  </si>
  <si>
    <r>
      <t xml:space="preserve">a  ingresar al </t>
    </r>
    <r>
      <rPr>
        <b/>
        <i/>
        <sz val="11"/>
        <color theme="1"/>
        <rFont val="Calibri"/>
        <family val="2"/>
        <scheme val="minor"/>
      </rPr>
      <t>FORMARA 1007-EGRESOS</t>
    </r>
    <r>
      <rPr>
        <i/>
        <sz val="11"/>
        <color theme="1"/>
        <rFont val="Calibri"/>
        <family val="2"/>
        <scheme val="minor"/>
      </rPr>
      <t xml:space="preserve"> para finalizar con el proceso de  diligenciamiento , llenando solamente el siguiente campo:</t>
    </r>
  </si>
  <si>
    <t>Esto se registra en el fomara 1006- INGRESOS en la parte inferior, de forma manual.</t>
  </si>
  <si>
    <r>
      <t xml:space="preserve">a  ingresar a la </t>
    </r>
    <r>
      <rPr>
        <b/>
        <i/>
        <sz val="11"/>
        <color theme="1"/>
        <rFont val="Calibri"/>
        <family val="2"/>
        <scheme val="minor"/>
      </rPr>
      <t>FORMARA 1006- INGRESOS</t>
    </r>
    <r>
      <rPr>
        <i/>
        <sz val="11"/>
        <color theme="1"/>
        <rFont val="Calibri"/>
        <family val="2"/>
        <scheme val="minor"/>
      </rPr>
      <t xml:space="preserve"> para finalizar con el proceso de  diligenciamiento , llenando solamente los siguientes campos:</t>
    </r>
  </si>
  <si>
    <t>-SALIDAS FORMATO 1008 ENTREGA DE FONDOS</t>
  </si>
  <si>
    <t>En este formato aparecen los dineros que se deben entregar al Tesorero Diocesano por los diferentes conceptos que aparecen registrados de manera automatica.</t>
  </si>
  <si>
    <t>En este formato solo se digita si hay alguna observacion.</t>
  </si>
  <si>
    <r>
      <t xml:space="preserve">En este formato  se debe ingresar la relación de los recibos de caja y comprobantes de egreso que se realizaron en el mes correspondiente al que se envia la información  y el </t>
    </r>
    <r>
      <rPr>
        <b/>
        <i/>
        <sz val="11"/>
        <color theme="1"/>
        <rFont val="Calibri"/>
        <family val="2"/>
        <scheme val="minor"/>
      </rPr>
      <t>SALDO</t>
    </r>
  </si>
  <si>
    <t>EN LA CASILLA OBOLO SE DEBE INGRESAR EL VALOR DE FORMA MANUAL, RECOGIDO VOLUNTARIAMENTE EN NUESTRO LUMISIAL.</t>
  </si>
  <si>
    <t>Saldo en caja</t>
  </si>
  <si>
    <t>SALIDAS FORMATO 1008 ENTREGA DE FONDOS</t>
  </si>
  <si>
    <t>Hace referencia al número de cédula del aportantes sin puntos.Eje. 65234876</t>
  </si>
  <si>
    <t>NOTA: NO SE DEBE SUMAR O  REGISTRAR NINGUN OTRO VALOR EN ESTA CASILLA, que no sean los anteriormente mencionados.</t>
  </si>
  <si>
    <t>-DONACIONES LUMISIAL</t>
  </si>
  <si>
    <t>-COMPROBANTE DE EGRESO No. Ejemplo. CE 23-10-987</t>
  </si>
  <si>
    <t>NOTA: DEBE REGISTRARSE EL CODIGO DE LA DIOCESIS, EL CODIGO DEL SANTUARIO Y EL NUMERO DEL COMPROBANTE.</t>
  </si>
  <si>
    <t xml:space="preserve"> Se debe colocar el número consecutivo del recibo de caja correspondiente de los aportes de la persona. Este campo se digita manualmente, de la siguiente manera: codigo diocesis-codigo santuario- número del recibo.</t>
  </si>
  <si>
    <t>Ejemplo: 23-10-6543</t>
  </si>
  <si>
    <r>
      <t xml:space="preserve">Son aquellos aportes </t>
    </r>
    <r>
      <rPr>
        <b/>
        <i/>
        <sz val="11"/>
        <color theme="1"/>
        <rFont val="Calibri"/>
        <family val="2"/>
        <scheme val="minor"/>
      </rPr>
      <t>ESPORÁDICOS</t>
    </r>
    <r>
      <rPr>
        <i/>
        <sz val="11"/>
        <color theme="1"/>
        <rFont val="Calibri"/>
        <family val="2"/>
        <scheme val="minor"/>
      </rPr>
      <t xml:space="preserve"> realizados por las personas con destinos especificos para  la DIOCESIS o el LUMISIAL. Se diligencia escribiendo el concepto y el valor TOTAL. En esta sección</t>
    </r>
  </si>
  <si>
    <t>se debe registrar el OBOLO  recogido para la V.M. LUZ ALBA.</t>
  </si>
  <si>
    <t>_OBOLO</t>
  </si>
  <si>
    <t>Tesorero de la DIOCESIS, incluyendo el valor del OBOLO. Colocando la fecha correspondiente en la que se realiza el pago.</t>
  </si>
  <si>
    <t>TOTAL OTRAS ENTRADAS</t>
  </si>
  <si>
    <t>CE  -</t>
  </si>
  <si>
    <t>FLORES</t>
  </si>
  <si>
    <t>UVAS</t>
  </si>
  <si>
    <t>COPAS</t>
  </si>
  <si>
    <t>OASIS</t>
  </si>
  <si>
    <t>VELAS</t>
  </si>
  <si>
    <t>ACEITE</t>
  </si>
  <si>
    <t>CARBON</t>
  </si>
  <si>
    <t>PAN</t>
  </si>
  <si>
    <t>DIOCESIS</t>
  </si>
  <si>
    <t>Datos Generales (PARA ENCABEZADOS DE FORMATOS)</t>
  </si>
  <si>
    <t>OBOLO</t>
  </si>
  <si>
    <t xml:space="preserve">                                  SANTA IGLESIA GNÓSTICA CRISTIANA UNIVERSAL SAMAEL AUN WEOR DE COLOMBIA</t>
  </si>
  <si>
    <t xml:space="preserve">                     SANTA IGLESIA GNÓSTICA CRISTIANA UNIVERSAL SAMAEL AUN WEOR DE COLOMBIA</t>
  </si>
  <si>
    <t xml:space="preserve">                           SANTA IGLESIA GNÓSTICA CRISTIANA UNIVERSAL SAMAEL AUN WEOR DE COLOMBIA</t>
  </si>
  <si>
    <t xml:space="preserve">Corresponde al valor de la contribucion economica que todo integrante de la SANTA IGLESIA GNOSTICA, mayor de edad, realiza para el buen funcionamiento de la iglesia en la cual se  incluye  el valor para la cuota estatutaria,  la Diocesis,y el sostenimiento del LUMISIAL, los cuales seran distribuidos por el  </t>
  </si>
  <si>
    <r>
      <rPr>
        <b/>
        <sz val="9"/>
        <color indexed="8"/>
        <rFont val="Calibri"/>
        <family val="2"/>
      </rPr>
      <t xml:space="preserve">NOTA 1: </t>
    </r>
    <r>
      <rPr>
        <sz val="9"/>
        <color theme="1"/>
        <rFont val="Calibri"/>
        <family val="2"/>
        <scheme val="minor"/>
      </rPr>
      <t xml:space="preserve">COLOCAR EL TOTAL DE PAGOS O EGRESOS DEL LUMISIAL </t>
    </r>
  </si>
  <si>
    <r>
      <rPr>
        <b/>
        <sz val="9"/>
        <color indexed="8"/>
        <rFont val="Calibri"/>
        <family val="2"/>
      </rPr>
      <t>NOTA 3:</t>
    </r>
    <r>
      <rPr>
        <sz val="9"/>
        <color theme="1"/>
        <rFont val="Calibri"/>
        <family val="2"/>
        <scheme val="minor"/>
      </rPr>
      <t xml:space="preserve"> DE LOS PAGOS DE SERVICIOS PÚBLICOS E IMPUESTOS A NOMBRE DE LA IGLESIA DEBEN REPORTARSE COPIA DE FACTURA A LA </t>
    </r>
  </si>
  <si>
    <t>SALDO ANTERIOR:</t>
  </si>
  <si>
    <t>En esta casilla se pueden relacionar DETALLADAMENTE si así se requiere aquellos aportes extraordinarios que realiza la persona a un fondo especifico de la IGLESIA, la DIOCESIS ó el LUMISIAL, de forma manual. QUE FUERON REGISTRADOS CON VALORES TOTALES EN OTRAS ENTRADAS.</t>
  </si>
  <si>
    <t>Eje. DETALLE</t>
  </si>
  <si>
    <t xml:space="preserve">         ACADEMIA LUZ ALBA                  $100.000</t>
  </si>
  <si>
    <t xml:space="preserve">EJEMPLOS: </t>
  </si>
  <si>
    <t>- CONFERENCIAS PUBLICAS - TEMPLO DIVINO DAIMON</t>
  </si>
  <si>
    <t>-LIBROS- FLORES TEMPLO DE CURACION</t>
  </si>
  <si>
    <t>- APOYO V.M. TAHUIL -APOYO CONVIVENCIA DIOCESANA</t>
  </si>
  <si>
    <t>-COMPRA  VIDEO BEAM - VALLAS</t>
  </si>
  <si>
    <t>- CARNE - APOYO APERTURA SANTUARIO NUEVO EN LA DIOCESIS -MANTENIMIENTO LOCATIVOS SANTUARIO</t>
  </si>
  <si>
    <t>NOTA:  EL VALOR REGISTRADO EN CUENTAS VARIAS SE SUMARA AUTOMATICAMENTE EN LA COLUMNA DE CAJA DE CADA PERSONA.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</si>
</sst>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quot;$&quot;\ * #,##0.00_);_(&quot;$&quot;\ * \(#,##0.00\);_(&quot;$&quot;\ * &quot;-&quot;??_);_(@_)"/>
    <numFmt numFmtId="165" formatCode="dd/mm/yy;@"/>
    <numFmt numFmtId="166" formatCode="dd/mm/yyyy;@"/>
    <numFmt numFmtId="167" formatCode="#,##0;[Red]#,##0"/>
    <numFmt numFmtId="168" formatCode="_(&quot;$&quot;\ * #,##0_);_(&quot;$&quot;\ * \(#,##0\);_(&quot;$&quot;\ * &quot;-&quot;??_);_(@_)"/>
    <numFmt numFmtId="169" formatCode="0_);[Red]\(0\)"/>
    <numFmt numFmtId="170" formatCode="0;[Red]0"/>
    <numFmt numFmtId="171" formatCode="00\-"/>
    <numFmt numFmtId="172" formatCode="00"/>
    <numFmt numFmtId="173" formatCode="mmmm&quot; &quot;yyyy;@"/>
  </numFmts>
  <fonts count="55" x14ac:knownFonts="1">
    <font>
      <sz val="11"/>
      <color theme="1"/>
      <name val="Calibri"/>
      <family val="2"/>
      <scheme val="minor"/>
    </font>
    <font>
      <b/>
      <sz val="11"/>
      <color theme="1"/>
      <name val="Calibri"/>
      <family val="2"/>
      <scheme val="minor"/>
    </font>
    <font>
      <sz val="8"/>
      <name val="Calibri"/>
      <family val="2"/>
      <scheme val="minor"/>
    </font>
    <font>
      <sz val="8"/>
      <color theme="1"/>
      <name val="Calibri"/>
      <family val="2"/>
      <scheme val="minor"/>
    </font>
    <font>
      <sz val="8"/>
      <color rgb="FF000000"/>
      <name val="Calibri"/>
      <family val="2"/>
      <scheme val="minor"/>
    </font>
    <font>
      <b/>
      <sz val="8"/>
      <color rgb="FF000000"/>
      <name val="Calibri"/>
      <family val="2"/>
      <scheme val="minor"/>
    </font>
    <font>
      <b/>
      <sz val="8"/>
      <color theme="1"/>
      <name val="Calibri"/>
      <family val="2"/>
      <scheme val="minor"/>
    </font>
    <font>
      <b/>
      <sz val="14"/>
      <color theme="1"/>
      <name val="Calibri"/>
      <family val="2"/>
      <scheme val="minor"/>
    </font>
    <font>
      <sz val="10"/>
      <name val="Arial"/>
      <family val="2"/>
    </font>
    <font>
      <sz val="10"/>
      <color rgb="FF000000"/>
      <name val="Calibri"/>
      <family val="2"/>
      <scheme val="minor"/>
    </font>
    <font>
      <b/>
      <sz val="10"/>
      <color indexed="8"/>
      <name val="Calibri"/>
      <family val="2"/>
    </font>
    <font>
      <sz val="9"/>
      <color theme="1"/>
      <name val="Calibri"/>
      <family val="2"/>
      <scheme val="minor"/>
    </font>
    <font>
      <b/>
      <sz val="9"/>
      <color theme="1"/>
      <name val="Calibri"/>
      <family val="2"/>
      <scheme val="minor"/>
    </font>
    <font>
      <b/>
      <sz val="10"/>
      <color theme="1"/>
      <name val="Calibri"/>
      <family val="2"/>
      <scheme val="minor"/>
    </font>
    <font>
      <sz val="11"/>
      <name val="Calibri"/>
      <family val="2"/>
      <scheme val="minor"/>
    </font>
    <font>
      <b/>
      <sz val="9"/>
      <color indexed="8"/>
      <name val="Calibri"/>
      <family val="2"/>
    </font>
    <font>
      <i/>
      <sz val="11"/>
      <color theme="1"/>
      <name val="Calibri"/>
      <family val="2"/>
      <scheme val="minor"/>
    </font>
    <font>
      <sz val="11"/>
      <color theme="0" tint="-0.499984740745262"/>
      <name val="Calibri"/>
      <family val="2"/>
      <scheme val="minor"/>
    </font>
    <font>
      <sz val="11"/>
      <color theme="1"/>
      <name val="Calibri"/>
      <family val="2"/>
      <scheme val="minor"/>
    </font>
    <font>
      <b/>
      <sz val="8"/>
      <name val="Arial"/>
      <family val="2"/>
    </font>
    <font>
      <b/>
      <sz val="9"/>
      <color theme="1"/>
      <name val="Arial"/>
      <family val="2"/>
    </font>
    <font>
      <sz val="11"/>
      <name val="Algerian"/>
      <family val="5"/>
    </font>
    <font>
      <sz val="11"/>
      <color rgb="FF0070C0"/>
      <name val="Algerian"/>
      <family val="5"/>
    </font>
    <font>
      <b/>
      <sz val="8"/>
      <name val="Calibri"/>
      <family val="2"/>
      <scheme val="minor"/>
    </font>
    <font>
      <b/>
      <i/>
      <sz val="9"/>
      <color theme="1"/>
      <name val="Arial"/>
      <family val="2"/>
    </font>
    <font>
      <b/>
      <i/>
      <sz val="11"/>
      <color theme="1"/>
      <name val="Arial"/>
      <family val="2"/>
    </font>
    <font>
      <b/>
      <i/>
      <sz val="12"/>
      <color theme="1"/>
      <name val="Arial"/>
      <family val="2"/>
    </font>
    <font>
      <b/>
      <i/>
      <sz val="11"/>
      <color theme="1"/>
      <name val="Calibri"/>
      <family val="2"/>
      <scheme val="minor"/>
    </font>
    <font>
      <i/>
      <sz val="9"/>
      <color theme="1"/>
      <name val="Arial"/>
      <family val="2"/>
    </font>
    <font>
      <b/>
      <i/>
      <sz val="12"/>
      <color theme="1"/>
      <name val="Calibri"/>
      <family val="2"/>
      <scheme val="minor"/>
    </font>
    <font>
      <b/>
      <sz val="12"/>
      <color theme="1"/>
      <name val="Calibri"/>
      <family val="2"/>
      <scheme val="minor"/>
    </font>
    <font>
      <b/>
      <i/>
      <sz val="13"/>
      <color theme="7"/>
      <name val="Calibri"/>
      <family val="2"/>
      <scheme val="minor"/>
    </font>
    <font>
      <b/>
      <i/>
      <sz val="11"/>
      <color theme="7"/>
      <name val="Calibri"/>
      <family val="2"/>
      <scheme val="minor"/>
    </font>
    <font>
      <b/>
      <sz val="10"/>
      <color rgb="FF000000"/>
      <name val="Calibri"/>
      <family val="2"/>
      <scheme val="minor"/>
    </font>
    <font>
      <sz val="10"/>
      <color theme="1"/>
      <name val="Calibri"/>
      <family val="2"/>
      <scheme val="minor"/>
    </font>
    <font>
      <b/>
      <i/>
      <sz val="11"/>
      <color theme="1"/>
      <name val="Aparajita"/>
      <family val="2"/>
    </font>
    <font>
      <b/>
      <i/>
      <sz val="11"/>
      <color rgb="FF002060"/>
      <name val="Aparajita"/>
      <family val="2"/>
    </font>
    <font>
      <b/>
      <i/>
      <sz val="11"/>
      <name val="Calibri"/>
      <family val="2"/>
      <scheme val="minor"/>
    </font>
    <font>
      <b/>
      <i/>
      <u/>
      <sz val="20"/>
      <color theme="7"/>
      <name val="Calibri"/>
      <family val="2"/>
      <scheme val="minor"/>
    </font>
    <font>
      <b/>
      <i/>
      <sz val="14"/>
      <color theme="1"/>
      <name val="Calibri"/>
      <family val="2"/>
      <scheme val="minor"/>
    </font>
    <font>
      <b/>
      <u/>
      <sz val="11"/>
      <color rgb="FFFF0000"/>
      <name val="Calibri"/>
      <family val="2"/>
      <scheme val="minor"/>
    </font>
    <font>
      <b/>
      <i/>
      <sz val="8"/>
      <color theme="1"/>
      <name val="Arial"/>
      <family val="2"/>
    </font>
    <font>
      <b/>
      <i/>
      <sz val="8"/>
      <name val="Arial"/>
      <family val="2"/>
    </font>
    <font>
      <sz val="9"/>
      <color theme="1"/>
      <name val="Arial Rounded MT Bold"/>
      <family val="2"/>
    </font>
    <font>
      <sz val="10"/>
      <color theme="1"/>
      <name val="Arial Rounded MT Bold"/>
      <family val="2"/>
    </font>
    <font>
      <sz val="9"/>
      <name val="Arial Rounded MT Bold"/>
      <family val="2"/>
    </font>
    <font>
      <sz val="9"/>
      <color theme="1"/>
      <name val="Arial"/>
      <family val="2"/>
    </font>
    <font>
      <sz val="9"/>
      <name val="Arial"/>
      <family val="2"/>
    </font>
    <font>
      <b/>
      <sz val="9"/>
      <color theme="1"/>
      <name val="Arial"/>
    </font>
    <font>
      <b/>
      <i/>
      <sz val="9"/>
      <color theme="1"/>
      <name val="Arial"/>
    </font>
    <font>
      <b/>
      <i/>
      <sz val="8"/>
      <name val="Arial"/>
    </font>
    <font>
      <b/>
      <i/>
      <sz val="8"/>
      <color theme="0"/>
      <name val="Arial"/>
      <family val="2"/>
    </font>
    <font>
      <b/>
      <sz val="11"/>
      <color theme="0"/>
      <name val="Calibri"/>
      <family val="2"/>
      <scheme val="minor"/>
    </font>
    <font>
      <sz val="11"/>
      <color theme="0"/>
      <name val="Calibri"/>
      <family val="2"/>
      <scheme val="minor"/>
    </font>
    <font>
      <b/>
      <sz val="14"/>
      <color theme="0"/>
      <name val="Calibri"/>
      <family val="2"/>
      <scheme val="minor"/>
    </font>
  </fonts>
  <fills count="9">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8" tint="0.39997558519241921"/>
        <bgColor indexed="64"/>
      </patternFill>
    </fill>
  </fills>
  <borders count="81">
    <border>
      <left/>
      <right/>
      <top/>
      <bottom/>
      <diagonal/>
    </border>
    <border>
      <left style="hair">
        <color indexed="64"/>
      </left>
      <right/>
      <top/>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top style="medium">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style="hair">
        <color indexed="64"/>
      </left>
      <right style="hair">
        <color indexed="64"/>
      </right>
      <top/>
      <bottom style="medium">
        <color indexed="64"/>
      </bottom>
      <diagonal/>
    </border>
    <border>
      <left style="medium">
        <color indexed="64"/>
      </left>
      <right style="medium">
        <color indexed="64"/>
      </right>
      <top/>
      <bottom/>
      <diagonal/>
    </border>
    <border>
      <left/>
      <right/>
      <top style="medium">
        <color theme="3" tint="-0.249977111117893"/>
      </top>
      <bottom/>
      <diagonal/>
    </border>
    <border>
      <left/>
      <right/>
      <top/>
      <bottom style="medium">
        <color theme="3" tint="-0.249977111117893"/>
      </bottom>
      <diagonal/>
    </border>
    <border>
      <left style="medium">
        <color theme="3" tint="-0.249977111117893"/>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auto="1"/>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medium">
        <color theme="1" tint="0.499984740745262"/>
      </left>
      <right style="medium">
        <color theme="1" tint="0.499984740745262"/>
      </right>
      <top/>
      <bottom/>
      <diagonal/>
    </border>
    <border>
      <left style="medium">
        <color indexed="64"/>
      </left>
      <right/>
      <top/>
      <bottom/>
      <diagonal/>
    </border>
    <border>
      <left style="medium">
        <color indexed="64"/>
      </left>
      <right style="medium">
        <color theme="1" tint="0.499984740745262"/>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indexed="64"/>
      </left>
      <right style="medium">
        <color indexed="64"/>
      </right>
      <top/>
      <bottom style="medium">
        <color indexed="64"/>
      </bottom>
      <diagonal/>
    </border>
    <border>
      <left style="medium">
        <color indexed="64"/>
      </left>
      <right style="medium">
        <color theme="1" tint="0.499984740745262"/>
      </right>
      <top style="medium">
        <color indexed="64"/>
      </top>
      <bottom/>
      <diagonal/>
    </border>
    <border>
      <left style="medium">
        <color theme="1" tint="0.499984740745262"/>
      </left>
      <right style="medium">
        <color theme="1" tint="0.499984740745262"/>
      </right>
      <top style="medium">
        <color indexed="64"/>
      </top>
      <bottom style="medium">
        <color theme="1" tint="0.499984740745262"/>
      </bottom>
      <diagonal/>
    </border>
    <border>
      <left style="medium">
        <color theme="1" tint="0.499984740745262"/>
      </left>
      <right style="medium">
        <color theme="1" tint="0.499984740745262"/>
      </right>
      <top style="medium">
        <color indexed="64"/>
      </top>
      <bottom/>
      <diagonal/>
    </border>
    <border>
      <left style="medium">
        <color indexed="64"/>
      </left>
      <right style="medium">
        <color theme="1" tint="0.499984740745262"/>
      </right>
      <top/>
      <bottom style="medium">
        <color indexed="64"/>
      </bottom>
      <diagonal/>
    </border>
    <border>
      <left style="medium">
        <color theme="1" tint="0.499984740745262"/>
      </left>
      <right style="medium">
        <color theme="1" tint="0.499984740745262"/>
      </right>
      <top style="medium">
        <color theme="1" tint="0.499984740745262"/>
      </top>
      <bottom style="medium">
        <color indexed="64"/>
      </bottom>
      <diagonal/>
    </border>
    <border>
      <left style="medium">
        <color theme="1" tint="0.499984740745262"/>
      </left>
      <right style="medium">
        <color theme="1" tint="0.499984740745262"/>
      </right>
      <top/>
      <bottom style="medium">
        <color indexed="64"/>
      </bottom>
      <diagonal/>
    </border>
    <border>
      <left style="medium">
        <color theme="1" tint="0.499984740745262"/>
      </left>
      <right/>
      <top style="medium">
        <color indexed="64"/>
      </top>
      <bottom/>
      <diagonal/>
    </border>
    <border>
      <left style="medium">
        <color theme="1" tint="0.499984740745262"/>
      </left>
      <right/>
      <top/>
      <bottom/>
      <diagonal/>
    </border>
    <border>
      <left style="medium">
        <color theme="1" tint="0.499984740745262"/>
      </left>
      <right/>
      <top/>
      <bottom style="medium">
        <color indexed="64"/>
      </bottom>
      <diagonal/>
    </border>
    <border>
      <left/>
      <right style="medium">
        <color theme="1" tint="0.499984740745262"/>
      </right>
      <top style="medium">
        <color indexed="64"/>
      </top>
      <bottom/>
      <diagonal/>
    </border>
    <border>
      <left/>
      <right style="medium">
        <color theme="1" tint="0.499984740745262"/>
      </right>
      <top/>
      <bottom/>
      <diagonal/>
    </border>
    <border>
      <left/>
      <right style="medium">
        <color theme="1" tint="0.499984740745262"/>
      </right>
      <top/>
      <bottom style="medium">
        <color indexed="64"/>
      </bottom>
      <diagonal/>
    </border>
    <border>
      <left/>
      <right/>
      <top style="medium">
        <color indexed="64"/>
      </top>
      <bottom style="thin">
        <color indexed="64"/>
      </bottom>
      <diagonal/>
    </border>
  </borders>
  <cellStyleXfs count="3">
    <xf numFmtId="0" fontId="0" fillId="0" borderId="0"/>
    <xf numFmtId="0" fontId="8" fillId="0" borderId="0"/>
    <xf numFmtId="164" fontId="18" fillId="0" borderId="0" applyFont="0" applyFill="0" applyBorder="0" applyAlignment="0" applyProtection="0"/>
  </cellStyleXfs>
  <cellXfs count="419">
    <xf numFmtId="0" fontId="0" fillId="0" borderId="0" xfId="0"/>
    <xf numFmtId="0" fontId="0" fillId="0" borderId="0" xfId="0" applyProtection="1">
      <protection locked="0"/>
    </xf>
    <xf numFmtId="3" fontId="0" fillId="0" borderId="0" xfId="0" applyNumberFormat="1" applyProtection="1">
      <protection locked="0"/>
    </xf>
    <xf numFmtId="38" fontId="0" fillId="0" borderId="0" xfId="0" applyNumberFormat="1" applyProtection="1">
      <protection locked="0"/>
    </xf>
    <xf numFmtId="0" fontId="0" fillId="0" borderId="0" xfId="0" applyAlignment="1" applyProtection="1">
      <alignment vertical="center"/>
      <protection locked="0"/>
    </xf>
    <xf numFmtId="38" fontId="0" fillId="0" borderId="0" xfId="2" applyNumberFormat="1" applyFont="1" applyAlignment="1" applyProtection="1">
      <alignment horizontal="right"/>
      <protection locked="0"/>
    </xf>
    <xf numFmtId="38" fontId="0" fillId="0" borderId="0" xfId="2" applyNumberFormat="1" applyFont="1" applyProtection="1">
      <protection locked="0"/>
    </xf>
    <xf numFmtId="38" fontId="1" fillId="0" borderId="0" xfId="0" applyNumberFormat="1" applyFont="1" applyAlignment="1" applyProtection="1">
      <alignment horizontal="center"/>
      <protection locked="0"/>
    </xf>
    <xf numFmtId="38" fontId="16" fillId="0" borderId="0" xfId="0" applyNumberFormat="1" applyFont="1" applyAlignment="1" applyProtection="1">
      <alignment horizontal="center" vertical="center"/>
      <protection locked="0"/>
    </xf>
    <xf numFmtId="38" fontId="26" fillId="0" borderId="0" xfId="0" applyNumberFormat="1" applyFont="1" applyAlignment="1" applyProtection="1">
      <alignment horizontal="left" vertical="center"/>
      <protection locked="0"/>
    </xf>
    <xf numFmtId="168" fontId="0" fillId="0" borderId="0" xfId="2" applyNumberFormat="1" applyFont="1" applyAlignment="1" applyProtection="1">
      <alignment horizontal="right"/>
      <protection locked="0"/>
    </xf>
    <xf numFmtId="38" fontId="0" fillId="0" borderId="0" xfId="0" applyNumberFormat="1" applyAlignment="1" applyProtection="1">
      <alignment horizontal="center"/>
      <protection locked="0"/>
    </xf>
    <xf numFmtId="38" fontId="7" fillId="0" borderId="0" xfId="0" applyNumberFormat="1" applyFont="1" applyAlignment="1" applyProtection="1">
      <alignment horizontal="center" vertical="center"/>
      <protection locked="0"/>
    </xf>
    <xf numFmtId="168" fontId="0" fillId="0" borderId="0" xfId="2" applyNumberFormat="1" applyFont="1" applyProtection="1">
      <protection locked="0"/>
    </xf>
    <xf numFmtId="38" fontId="16" fillId="0" borderId="0" xfId="0" applyNumberFormat="1" applyFont="1" applyAlignment="1" applyProtection="1">
      <alignment horizontal="center"/>
      <protection locked="0"/>
    </xf>
    <xf numFmtId="38" fontId="17" fillId="0" borderId="0" xfId="0" applyNumberFormat="1" applyFont="1" applyAlignment="1" applyProtection="1">
      <alignment horizontal="left"/>
      <protection locked="0"/>
    </xf>
    <xf numFmtId="38" fontId="14" fillId="0" borderId="0" xfId="0" applyNumberFormat="1" applyFont="1" applyAlignment="1" applyProtection="1">
      <alignment horizontal="center"/>
      <protection locked="0"/>
    </xf>
    <xf numFmtId="38" fontId="0" fillId="0" borderId="0" xfId="0" applyNumberFormat="1" applyAlignment="1" applyProtection="1">
      <alignment horizontal="center" vertical="center"/>
      <protection locked="0"/>
    </xf>
    <xf numFmtId="38" fontId="0" fillId="0" borderId="0" xfId="0" applyNumberFormat="1" applyAlignment="1" applyProtection="1">
      <alignment horizontal="left"/>
      <protection locked="0"/>
    </xf>
    <xf numFmtId="38" fontId="1" fillId="0" borderId="13" xfId="0" applyNumberFormat="1" applyFont="1" applyBorder="1" applyAlignment="1" applyProtection="1">
      <alignment horizontal="center"/>
      <protection locked="0"/>
    </xf>
    <xf numFmtId="38" fontId="0" fillId="0" borderId="0" xfId="0" applyNumberFormat="1" applyAlignment="1" applyProtection="1">
      <alignment horizontal="right"/>
      <protection locked="0"/>
    </xf>
    <xf numFmtId="38" fontId="1" fillId="0" borderId="0" xfId="0" applyNumberFormat="1" applyFont="1" applyProtection="1">
      <protection locked="0"/>
    </xf>
    <xf numFmtId="168" fontId="1" fillId="0" borderId="0" xfId="2" applyNumberFormat="1" applyFont="1" applyAlignment="1" applyProtection="1">
      <alignment horizontal="right"/>
      <protection locked="0"/>
    </xf>
    <xf numFmtId="38" fontId="16" fillId="0" borderId="0" xfId="0" applyNumberFormat="1" applyFont="1"/>
    <xf numFmtId="38" fontId="0" fillId="0" borderId="0" xfId="0" applyNumberFormat="1"/>
    <xf numFmtId="0" fontId="1" fillId="0" borderId="0" xfId="0" applyFont="1" applyProtection="1">
      <protection locked="0"/>
    </xf>
    <xf numFmtId="0" fontId="22" fillId="0" borderId="0" xfId="0" applyFont="1" applyAlignment="1" applyProtection="1">
      <alignment vertical="center" wrapText="1"/>
      <protection locked="0"/>
    </xf>
    <xf numFmtId="0" fontId="6" fillId="0" borderId="0" xfId="0" applyFont="1" applyAlignment="1" applyProtection="1">
      <alignment horizontal="center" vertical="center"/>
      <protection locked="0"/>
    </xf>
    <xf numFmtId="168" fontId="20" fillId="0" borderId="0" xfId="2" applyNumberFormat="1" applyFont="1" applyAlignment="1" applyProtection="1">
      <alignment horizontal="center" vertical="center"/>
      <protection locked="0"/>
    </xf>
    <xf numFmtId="14" fontId="24" fillId="0" borderId="14" xfId="0" applyNumberFormat="1" applyFont="1" applyBorder="1" applyAlignment="1" applyProtection="1">
      <alignment horizontal="center" vertical="center"/>
      <protection locked="0"/>
    </xf>
    <xf numFmtId="168" fontId="24" fillId="0" borderId="13" xfId="2" applyNumberFormat="1" applyFont="1" applyBorder="1" applyAlignment="1" applyProtection="1">
      <alignment horizontal="center" vertical="center"/>
      <protection locked="0"/>
    </xf>
    <xf numFmtId="168" fontId="24" fillId="0" borderId="7" xfId="2" applyNumberFormat="1" applyFont="1" applyBorder="1" applyAlignment="1" applyProtection="1">
      <alignment horizontal="center" vertical="center"/>
      <protection locked="0"/>
    </xf>
    <xf numFmtId="0" fontId="0" fillId="0" borderId="0" xfId="0" applyAlignment="1" applyProtection="1">
      <alignment horizontal="left"/>
      <protection locked="0"/>
    </xf>
    <xf numFmtId="168" fontId="24" fillId="0" borderId="0" xfId="2" applyNumberFormat="1" applyFont="1" applyAlignment="1" applyProtection="1">
      <alignment horizontal="center" vertical="center"/>
      <protection locked="0"/>
    </xf>
    <xf numFmtId="0" fontId="24" fillId="0" borderId="0" xfId="0" applyFont="1" applyAlignment="1" applyProtection="1">
      <alignment horizontal="center" vertical="center"/>
      <protection locked="0"/>
    </xf>
    <xf numFmtId="14" fontId="24" fillId="0" borderId="8" xfId="0" applyNumberFormat="1" applyFont="1" applyBorder="1" applyAlignment="1" applyProtection="1">
      <alignment horizontal="center" vertical="center"/>
      <protection locked="0"/>
    </xf>
    <xf numFmtId="0" fontId="28" fillId="0" borderId="6" xfId="0" applyFont="1" applyBorder="1" applyAlignment="1" applyProtection="1">
      <alignment horizontal="center" vertical="center"/>
      <protection locked="0"/>
    </xf>
    <xf numFmtId="17" fontId="0" fillId="0" borderId="0" xfId="0" applyNumberFormat="1" applyProtection="1">
      <protection locked="0"/>
    </xf>
    <xf numFmtId="49" fontId="0" fillId="0" borderId="0" xfId="0" applyNumberFormat="1" applyProtection="1">
      <protection locked="0"/>
    </xf>
    <xf numFmtId="166" fontId="4" fillId="2" borderId="13" xfId="0" applyNumberFormat="1" applyFont="1" applyFill="1" applyBorder="1" applyAlignment="1">
      <alignment horizontal="right" vertical="center" wrapText="1"/>
    </xf>
    <xf numFmtId="49" fontId="4" fillId="2" borderId="14" xfId="0" applyNumberFormat="1" applyFont="1" applyFill="1" applyBorder="1" applyAlignment="1" applyProtection="1">
      <alignment horizontal="left" vertical="top" wrapText="1"/>
      <protection locked="0"/>
    </xf>
    <xf numFmtId="0" fontId="11" fillId="0" borderId="0" xfId="0" applyFont="1" applyAlignment="1" applyProtection="1">
      <alignment horizontal="left"/>
      <protection locked="0"/>
    </xf>
    <xf numFmtId="0" fontId="11" fillId="0" borderId="0" xfId="0" applyFont="1" applyProtection="1">
      <protection locked="0"/>
    </xf>
    <xf numFmtId="168" fontId="0" fillId="0" borderId="0" xfId="0" applyNumberFormat="1"/>
    <xf numFmtId="168" fontId="0" fillId="0" borderId="0" xfId="0" applyNumberFormat="1" applyProtection="1">
      <protection locked="0"/>
    </xf>
    <xf numFmtId="0" fontId="0" fillId="0" borderId="6" xfId="0" applyBorder="1" applyProtection="1">
      <protection locked="0"/>
    </xf>
    <xf numFmtId="167" fontId="0" fillId="0" borderId="1" xfId="0" applyNumberFormat="1" applyBorder="1" applyAlignment="1" applyProtection="1">
      <alignment vertical="center"/>
      <protection locked="0"/>
    </xf>
    <xf numFmtId="167" fontId="0" fillId="0" borderId="0" xfId="0" applyNumberFormat="1" applyAlignment="1" applyProtection="1">
      <alignment vertical="center"/>
      <protection locked="0"/>
    </xf>
    <xf numFmtId="167" fontId="0" fillId="0" borderId="0" xfId="0" applyNumberFormat="1" applyProtection="1">
      <protection locked="0"/>
    </xf>
    <xf numFmtId="0" fontId="0" fillId="0" borderId="0" xfId="0" applyAlignment="1" applyProtection="1">
      <alignment horizontal="center"/>
      <protection locked="0"/>
    </xf>
    <xf numFmtId="38" fontId="25" fillId="4" borderId="0" xfId="0" applyNumberFormat="1" applyFont="1" applyFill="1"/>
    <xf numFmtId="38" fontId="0" fillId="4" borderId="0" xfId="0" applyNumberFormat="1" applyFill="1"/>
    <xf numFmtId="168" fontId="29" fillId="4" borderId="0" xfId="2" applyNumberFormat="1" applyFont="1" applyFill="1" applyAlignment="1">
      <alignment horizontal="center" vertical="center"/>
    </xf>
    <xf numFmtId="38" fontId="25" fillId="3" borderId="0" xfId="0" applyNumberFormat="1" applyFont="1" applyFill="1"/>
    <xf numFmtId="38" fontId="14" fillId="3" borderId="0" xfId="0" applyNumberFormat="1" applyFont="1" applyFill="1" applyAlignment="1">
      <alignment horizontal="center"/>
    </xf>
    <xf numFmtId="168" fontId="30" fillId="3" borderId="0" xfId="2" applyNumberFormat="1" applyFont="1" applyFill="1" applyAlignment="1">
      <alignment horizontal="center" vertical="center"/>
    </xf>
    <xf numFmtId="168" fontId="0" fillId="0" borderId="4" xfId="2" applyNumberFormat="1" applyFont="1" applyBorder="1" applyProtection="1">
      <protection locked="0"/>
    </xf>
    <xf numFmtId="168" fontId="0" fillId="0" borderId="4" xfId="2" applyNumberFormat="1" applyFont="1" applyBorder="1" applyAlignment="1" applyProtection="1">
      <alignment horizontal="right"/>
      <protection locked="0"/>
    </xf>
    <xf numFmtId="169" fontId="20" fillId="0" borderId="25" xfId="2" applyNumberFormat="1" applyFont="1" applyBorder="1" applyAlignment="1" applyProtection="1">
      <alignment horizontal="center" vertical="center"/>
      <protection locked="0"/>
    </xf>
    <xf numFmtId="0" fontId="16" fillId="0" borderId="0" xfId="0" applyFont="1" applyProtection="1">
      <protection locked="0"/>
    </xf>
    <xf numFmtId="0" fontId="16" fillId="0" borderId="0" xfId="0" applyFont="1"/>
    <xf numFmtId="0" fontId="32" fillId="0" borderId="0" xfId="0" applyFont="1"/>
    <xf numFmtId="49" fontId="27" fillId="0" borderId="0" xfId="0" applyNumberFormat="1" applyFont="1"/>
    <xf numFmtId="49" fontId="16" fillId="0" borderId="0" xfId="0" applyNumberFormat="1" applyFont="1"/>
    <xf numFmtId="0" fontId="29" fillId="0" borderId="0" xfId="0" applyFont="1"/>
    <xf numFmtId="0" fontId="31" fillId="0" borderId="0" xfId="0" applyFont="1"/>
    <xf numFmtId="0" fontId="27" fillId="0" borderId="0" xfId="0" applyFont="1"/>
    <xf numFmtId="168" fontId="0" fillId="0" borderId="0" xfId="2" applyNumberFormat="1" applyFont="1" applyAlignment="1">
      <alignment horizontal="center" vertical="center"/>
    </xf>
    <xf numFmtId="167" fontId="4" fillId="0" borderId="6" xfId="0" applyNumberFormat="1" applyFont="1" applyBorder="1" applyAlignment="1" applyProtection="1">
      <alignment horizontal="right" wrapText="1"/>
      <protection locked="0"/>
    </xf>
    <xf numFmtId="38" fontId="5" fillId="0" borderId="6" xfId="2" applyNumberFormat="1" applyFont="1" applyBorder="1" applyAlignment="1">
      <alignment horizontal="center" vertical="center" wrapText="1"/>
    </xf>
    <xf numFmtId="38" fontId="4" fillId="0" borderId="6" xfId="0" applyNumberFormat="1" applyFont="1" applyBorder="1" applyAlignment="1">
      <alignment horizontal="center" vertical="center" wrapText="1"/>
    </xf>
    <xf numFmtId="38" fontId="4" fillId="0" borderId="6" xfId="2" applyNumberFormat="1" applyFont="1" applyBorder="1" applyAlignment="1">
      <alignment horizontal="center" vertical="center" wrapText="1"/>
    </xf>
    <xf numFmtId="0" fontId="4" fillId="0" borderId="6" xfId="0" applyFont="1" applyBorder="1" applyAlignment="1">
      <alignment horizontal="left" wrapText="1"/>
    </xf>
    <xf numFmtId="38" fontId="2" fillId="0" borderId="6" xfId="0" applyNumberFormat="1" applyFont="1" applyBorder="1" applyAlignment="1">
      <alignment horizontal="center" vertical="center" wrapText="1"/>
    </xf>
    <xf numFmtId="166" fontId="4" fillId="0" borderId="6" xfId="0" applyNumberFormat="1" applyFont="1" applyBorder="1" applyAlignment="1" applyProtection="1">
      <alignment horizontal="center" vertical="center" wrapText="1"/>
      <protection locked="0"/>
    </xf>
    <xf numFmtId="166" fontId="4" fillId="2" borderId="25" xfId="0" applyNumberFormat="1" applyFont="1" applyFill="1" applyBorder="1" applyAlignment="1">
      <alignment horizontal="right" vertical="center" wrapText="1"/>
    </xf>
    <xf numFmtId="0" fontId="3" fillId="0" borderId="24" xfId="0" applyFont="1" applyBorder="1" applyAlignment="1">
      <alignment horizontal="left" wrapText="1"/>
    </xf>
    <xf numFmtId="167" fontId="4" fillId="0" borderId="24" xfId="0" applyNumberFormat="1" applyFont="1" applyBorder="1" applyAlignment="1" applyProtection="1">
      <alignment horizontal="right" wrapText="1"/>
      <protection locked="0"/>
    </xf>
    <xf numFmtId="38" fontId="5" fillId="0" borderId="24" xfId="2" applyNumberFormat="1" applyFont="1" applyBorder="1" applyAlignment="1">
      <alignment horizontal="center" vertical="center" wrapText="1"/>
    </xf>
    <xf numFmtId="38" fontId="4" fillId="0" borderId="24" xfId="2" applyNumberFormat="1" applyFont="1" applyBorder="1" applyAlignment="1">
      <alignment horizontal="center" vertical="center" wrapText="1"/>
    </xf>
    <xf numFmtId="38" fontId="2" fillId="0" borderId="24" xfId="2" applyNumberFormat="1" applyFont="1" applyBorder="1" applyAlignment="1">
      <alignment horizontal="center" vertical="center" wrapText="1"/>
    </xf>
    <xf numFmtId="166" fontId="4" fillId="0" borderId="17" xfId="0" applyNumberFormat="1" applyFont="1" applyBorder="1" applyAlignment="1" applyProtection="1">
      <alignment horizontal="center" vertical="center" wrapText="1"/>
      <protection locked="0"/>
    </xf>
    <xf numFmtId="49" fontId="4" fillId="2" borderId="8" xfId="0" applyNumberFormat="1" applyFont="1" applyFill="1" applyBorder="1" applyAlignment="1" applyProtection="1">
      <alignment horizontal="left" vertical="top" wrapText="1"/>
      <protection locked="0"/>
    </xf>
    <xf numFmtId="0" fontId="4" fillId="0" borderId="17" xfId="0" applyFont="1" applyBorder="1" applyAlignment="1">
      <alignment horizontal="left" wrapText="1"/>
    </xf>
    <xf numFmtId="167" fontId="4" fillId="0" borderId="17" xfId="0" applyNumberFormat="1" applyFont="1" applyBorder="1" applyAlignment="1" applyProtection="1">
      <alignment horizontal="right" wrapText="1"/>
      <protection locked="0"/>
    </xf>
    <xf numFmtId="38" fontId="5" fillId="0" borderId="17" xfId="2" applyNumberFormat="1" applyFont="1" applyBorder="1" applyAlignment="1">
      <alignment horizontal="center" vertical="center" wrapText="1"/>
    </xf>
    <xf numFmtId="38" fontId="2" fillId="0" borderId="17" xfId="0" applyNumberFormat="1" applyFont="1" applyBorder="1" applyAlignment="1">
      <alignment horizontal="center" vertical="center" wrapText="1"/>
    </xf>
    <xf numFmtId="38" fontId="4" fillId="0" borderId="17" xfId="0" applyNumberFormat="1" applyFont="1" applyBorder="1" applyAlignment="1">
      <alignment horizontal="center" vertical="center" wrapText="1"/>
    </xf>
    <xf numFmtId="165" fontId="3" fillId="0" borderId="6" xfId="0" applyNumberFormat="1" applyFont="1" applyBorder="1" applyAlignment="1" applyProtection="1">
      <alignment horizontal="center" vertical="center" wrapText="1"/>
      <protection locked="0"/>
    </xf>
    <xf numFmtId="0" fontId="3" fillId="0" borderId="6" xfId="0" applyFont="1" applyBorder="1" applyAlignment="1">
      <alignment horizontal="left" vertical="center" wrapText="1"/>
    </xf>
    <xf numFmtId="38" fontId="3" fillId="0" borderId="6" xfId="2" applyNumberFormat="1" applyFont="1" applyBorder="1" applyAlignment="1">
      <alignment horizontal="center" vertical="center" wrapText="1"/>
    </xf>
    <xf numFmtId="38" fontId="6" fillId="0" borderId="6" xfId="2" applyNumberFormat="1" applyFont="1" applyBorder="1" applyAlignment="1">
      <alignment horizontal="center" vertical="center" wrapText="1"/>
    </xf>
    <xf numFmtId="1" fontId="3" fillId="0" borderId="6" xfId="0" applyNumberFormat="1" applyFont="1" applyBorder="1" applyAlignment="1" applyProtection="1">
      <alignment horizontal="center" vertical="center" wrapText="1"/>
      <protection locked="0"/>
    </xf>
    <xf numFmtId="3" fontId="3" fillId="0" borderId="6" xfId="0" applyNumberFormat="1" applyFont="1" applyBorder="1" applyAlignment="1" applyProtection="1">
      <alignment horizontal="right" vertical="center" wrapText="1"/>
      <protection locked="0"/>
    </xf>
    <xf numFmtId="0" fontId="3" fillId="0" borderId="6" xfId="0" applyFont="1" applyBorder="1" applyAlignment="1" applyProtection="1">
      <alignment horizontal="center" vertical="center" wrapText="1"/>
      <protection locked="0"/>
    </xf>
    <xf numFmtId="1" fontId="3" fillId="0" borderId="17" xfId="0" applyNumberFormat="1" applyFont="1" applyBorder="1" applyAlignment="1" applyProtection="1">
      <alignment horizontal="center" vertical="center" wrapText="1"/>
      <protection locked="0"/>
    </xf>
    <xf numFmtId="165" fontId="3" fillId="0" borderId="17" xfId="0" applyNumberFormat="1" applyFont="1" applyBorder="1" applyAlignment="1" applyProtection="1">
      <alignment horizontal="center" vertical="center" wrapText="1"/>
      <protection locked="0"/>
    </xf>
    <xf numFmtId="0" fontId="3" fillId="0" borderId="17" xfId="0" applyFont="1" applyBorder="1" applyAlignment="1">
      <alignment horizontal="left" vertical="center" wrapText="1"/>
    </xf>
    <xf numFmtId="38" fontId="3" fillId="0" borderId="17" xfId="2" applyNumberFormat="1" applyFont="1" applyBorder="1" applyAlignment="1">
      <alignment horizontal="center" vertical="center" wrapText="1"/>
    </xf>
    <xf numFmtId="38" fontId="4" fillId="0" borderId="17" xfId="2" applyNumberFormat="1" applyFont="1" applyBorder="1" applyAlignment="1">
      <alignment horizontal="center" vertical="center" wrapText="1"/>
    </xf>
    <xf numFmtId="3" fontId="3" fillId="0" borderId="17" xfId="0" applyNumberFormat="1" applyFont="1" applyBorder="1" applyAlignment="1" applyProtection="1">
      <alignment horizontal="right" vertical="center" wrapText="1"/>
      <protection locked="0"/>
    </xf>
    <xf numFmtId="0" fontId="3" fillId="0" borderId="17" xfId="0" applyFont="1" applyBorder="1" applyAlignment="1" applyProtection="1">
      <alignment horizontal="center" vertical="center" wrapText="1"/>
      <protection locked="0"/>
    </xf>
    <xf numFmtId="168" fontId="0" fillId="0" borderId="0" xfId="2" applyNumberFormat="1" applyFont="1"/>
    <xf numFmtId="168" fontId="1" fillId="0" borderId="0" xfId="2" applyNumberFormat="1" applyFont="1" applyProtection="1">
      <protection locked="0"/>
    </xf>
    <xf numFmtId="38" fontId="13" fillId="0" borderId="4" xfId="2" applyNumberFormat="1" applyFont="1" applyBorder="1" applyAlignment="1">
      <alignment vertical="center"/>
    </xf>
    <xf numFmtId="38" fontId="33" fillId="0" borderId="11" xfId="2" applyNumberFormat="1" applyFont="1" applyBorder="1" applyAlignment="1">
      <alignment horizontal="right" vertical="center"/>
    </xf>
    <xf numFmtId="38" fontId="33" fillId="0" borderId="12" xfId="2" applyNumberFormat="1" applyFont="1" applyBorder="1" applyAlignment="1">
      <alignment horizontal="right" vertical="center"/>
    </xf>
    <xf numFmtId="38" fontId="33" fillId="0" borderId="40" xfId="2" applyNumberFormat="1" applyFont="1" applyBorder="1" applyAlignment="1" applyProtection="1">
      <alignment horizontal="right" vertical="center" wrapText="1"/>
      <protection locked="0"/>
    </xf>
    <xf numFmtId="168" fontId="9" fillId="0" borderId="1" xfId="2" applyNumberFormat="1" applyFont="1" applyBorder="1" applyAlignment="1" applyProtection="1">
      <alignment horizontal="right" vertical="center"/>
      <protection locked="0"/>
    </xf>
    <xf numFmtId="38" fontId="34" fillId="0" borderId="0" xfId="0" applyNumberFormat="1" applyFont="1" applyProtection="1">
      <protection locked="0"/>
    </xf>
    <xf numFmtId="3" fontId="34" fillId="0" borderId="0" xfId="0" applyNumberFormat="1" applyFont="1" applyProtection="1">
      <protection locked="0"/>
    </xf>
    <xf numFmtId="0" fontId="34" fillId="0" borderId="0" xfId="0" applyFont="1" applyProtection="1">
      <protection locked="0"/>
    </xf>
    <xf numFmtId="169" fontId="20" fillId="0" borderId="16" xfId="2" applyNumberFormat="1" applyFont="1" applyBorder="1" applyAlignment="1" applyProtection="1">
      <alignment horizontal="center" vertical="center"/>
      <protection locked="0"/>
    </xf>
    <xf numFmtId="0" fontId="24" fillId="0" borderId="14" xfId="0" applyFont="1" applyBorder="1" applyAlignment="1" applyProtection="1">
      <alignment vertical="center"/>
      <protection locked="0"/>
    </xf>
    <xf numFmtId="14" fontId="24" fillId="0" borderId="14" xfId="0" applyNumberFormat="1" applyFont="1" applyBorder="1" applyAlignment="1" applyProtection="1">
      <alignment vertical="center"/>
      <protection locked="0"/>
    </xf>
    <xf numFmtId="0" fontId="24" fillId="0" borderId="8" xfId="0" applyFont="1" applyBorder="1" applyAlignment="1" applyProtection="1">
      <alignment vertical="center"/>
      <protection locked="0"/>
    </xf>
    <xf numFmtId="0" fontId="24" fillId="0" borderId="0" xfId="0" applyFont="1" applyAlignment="1" applyProtection="1">
      <alignment vertical="center"/>
      <protection locked="0"/>
    </xf>
    <xf numFmtId="0" fontId="1" fillId="0" borderId="0" xfId="0" applyFont="1" applyAlignment="1" applyProtection="1">
      <alignment vertical="center"/>
      <protection locked="0"/>
    </xf>
    <xf numFmtId="14" fontId="24" fillId="0" borderId="23" xfId="0" applyNumberFormat="1" applyFont="1" applyBorder="1" applyAlignment="1" applyProtection="1">
      <alignment horizontal="center" vertical="center"/>
      <protection locked="0"/>
    </xf>
    <xf numFmtId="171" fontId="0" fillId="0" borderId="0" xfId="0" applyNumberFormat="1" applyAlignment="1" applyProtection="1">
      <alignment vertical="center"/>
      <protection locked="0"/>
    </xf>
    <xf numFmtId="171" fontId="0" fillId="0" borderId="0" xfId="0" applyNumberFormat="1" applyProtection="1">
      <protection locked="0"/>
    </xf>
    <xf numFmtId="171" fontId="4" fillId="2" borderId="16" xfId="0" applyNumberFormat="1" applyFont="1" applyFill="1" applyBorder="1" applyAlignment="1">
      <alignment horizontal="left" vertical="center" wrapText="1"/>
    </xf>
    <xf numFmtId="166" fontId="4" fillId="0" borderId="6" xfId="0" applyNumberFormat="1" applyFont="1" applyBorder="1" applyAlignment="1">
      <alignment horizontal="center" vertical="center" wrapText="1"/>
    </xf>
    <xf numFmtId="1" fontId="3" fillId="0" borderId="6" xfId="0" applyNumberFormat="1" applyFont="1" applyBorder="1" applyAlignment="1">
      <alignment horizontal="center" vertical="center" wrapText="1"/>
    </xf>
    <xf numFmtId="1" fontId="0" fillId="0" borderId="0" xfId="0" applyNumberFormat="1" applyProtection="1">
      <protection locked="0"/>
    </xf>
    <xf numFmtId="1" fontId="1" fillId="0" borderId="0" xfId="0" applyNumberFormat="1" applyFont="1" applyProtection="1">
      <protection locked="0"/>
    </xf>
    <xf numFmtId="1" fontId="22" fillId="0" borderId="0" xfId="0" applyNumberFormat="1" applyFont="1" applyAlignment="1" applyProtection="1">
      <alignment vertical="center" wrapText="1"/>
      <protection locked="0"/>
    </xf>
    <xf numFmtId="1" fontId="6" fillId="0" borderId="0" xfId="0" applyNumberFormat="1" applyFont="1" applyAlignment="1" applyProtection="1">
      <alignment horizontal="center" vertical="center"/>
      <protection locked="0"/>
    </xf>
    <xf numFmtId="1" fontId="0" fillId="0" borderId="0" xfId="0" applyNumberFormat="1" applyAlignment="1" applyProtection="1">
      <alignment vertical="center"/>
      <protection locked="0"/>
    </xf>
    <xf numFmtId="168" fontId="0" fillId="2" borderId="0" xfId="0" applyNumberFormat="1" applyFill="1" applyProtection="1">
      <protection locked="0"/>
    </xf>
    <xf numFmtId="38" fontId="0" fillId="0" borderId="0" xfId="2" applyNumberFormat="1" applyFont="1" applyAlignment="1" applyProtection="1">
      <alignment horizontal="center"/>
      <protection locked="0"/>
    </xf>
    <xf numFmtId="38" fontId="16" fillId="0" borderId="0" xfId="0" applyNumberFormat="1" applyFont="1" applyAlignment="1" applyProtection="1">
      <alignment horizontal="right" vertical="center"/>
      <protection locked="0"/>
    </xf>
    <xf numFmtId="0" fontId="27" fillId="0" borderId="0" xfId="0" applyFont="1" applyProtection="1">
      <protection locked="0"/>
    </xf>
    <xf numFmtId="0" fontId="38" fillId="0" borderId="0" xfId="0" applyFont="1"/>
    <xf numFmtId="49" fontId="39" fillId="0" borderId="0" xfId="0" applyNumberFormat="1" applyFont="1"/>
    <xf numFmtId="0" fontId="39" fillId="0" borderId="0" xfId="0" applyFont="1"/>
    <xf numFmtId="0" fontId="40" fillId="0" borderId="0" xfId="0" applyFont="1"/>
    <xf numFmtId="171" fontId="4" fillId="2" borderId="21" xfId="0" applyNumberFormat="1" applyFont="1" applyFill="1" applyBorder="1" applyAlignment="1">
      <alignment vertical="center" wrapText="1"/>
    </xf>
    <xf numFmtId="171" fontId="4" fillId="2" borderId="20" xfId="0" applyNumberFormat="1" applyFont="1" applyFill="1" applyBorder="1" applyAlignment="1">
      <alignment vertical="center" wrapText="1"/>
    </xf>
    <xf numFmtId="171" fontId="4" fillId="2" borderId="31" xfId="0" applyNumberFormat="1" applyFont="1" applyFill="1" applyBorder="1" applyAlignment="1">
      <alignment vertical="center" wrapText="1"/>
    </xf>
    <xf numFmtId="0" fontId="41" fillId="0" borderId="55" xfId="0" applyFont="1" applyBorder="1" applyAlignment="1" applyProtection="1">
      <alignment horizontal="center" vertical="center"/>
      <protection locked="0"/>
    </xf>
    <xf numFmtId="168" fontId="41" fillId="0" borderId="56" xfId="2" applyNumberFormat="1" applyFont="1" applyBorder="1" applyAlignment="1" applyProtection="1">
      <alignment horizontal="center" vertical="center"/>
      <protection locked="0"/>
    </xf>
    <xf numFmtId="0" fontId="42" fillId="0" borderId="55" xfId="0" applyFont="1" applyBorder="1" applyAlignment="1" applyProtection="1">
      <alignment horizontal="center" vertical="center"/>
      <protection locked="0"/>
    </xf>
    <xf numFmtId="168" fontId="42" fillId="0" borderId="56" xfId="2" applyNumberFormat="1" applyFont="1" applyFill="1" applyBorder="1" applyAlignment="1" applyProtection="1">
      <alignment horizontal="center" vertical="center"/>
      <protection locked="0"/>
    </xf>
    <xf numFmtId="0" fontId="42" fillId="0" borderId="6" xfId="0" applyFont="1" applyBorder="1" applyAlignment="1" applyProtection="1">
      <alignment horizontal="center" vertical="center"/>
      <protection locked="0"/>
    </xf>
    <xf numFmtId="168" fontId="42" fillId="0" borderId="6" xfId="2" applyNumberFormat="1" applyFont="1" applyFill="1" applyBorder="1" applyAlignment="1" applyProtection="1">
      <alignment horizontal="center" vertical="center"/>
      <protection locked="0"/>
    </xf>
    <xf numFmtId="0" fontId="42" fillId="0" borderId="28" xfId="0" applyFont="1" applyBorder="1" applyAlignment="1" applyProtection="1">
      <alignment horizontal="center" vertical="center"/>
      <protection locked="0"/>
    </xf>
    <xf numFmtId="168" fontId="42" fillId="0" borderId="48" xfId="2" applyNumberFormat="1" applyFont="1" applyFill="1" applyBorder="1" applyAlignment="1" applyProtection="1">
      <alignment horizontal="center" vertical="center"/>
      <protection locked="0"/>
    </xf>
    <xf numFmtId="16" fontId="24" fillId="0" borderId="14" xfId="0" applyNumberFormat="1" applyFont="1" applyBorder="1" applyAlignment="1" applyProtection="1">
      <alignment vertical="center"/>
      <protection locked="0"/>
    </xf>
    <xf numFmtId="49" fontId="4" fillId="0" borderId="23" xfId="0" applyNumberFormat="1" applyFont="1" applyBorder="1" applyAlignment="1" applyProtection="1">
      <alignment horizontal="left" vertical="top" wrapText="1"/>
      <protection locked="0"/>
    </xf>
    <xf numFmtId="49" fontId="4" fillId="0" borderId="14" xfId="0" applyNumberFormat="1" applyFont="1" applyBorder="1" applyAlignment="1" applyProtection="1">
      <alignment horizontal="left" vertical="top" wrapText="1"/>
      <protection locked="0"/>
    </xf>
    <xf numFmtId="38" fontId="0" fillId="0" borderId="16" xfId="0" applyNumberFormat="1" applyBorder="1" applyAlignment="1" applyProtection="1">
      <alignment horizontal="center"/>
      <protection locked="0"/>
    </xf>
    <xf numFmtId="3" fontId="43" fillId="0" borderId="56" xfId="0" applyNumberFormat="1" applyFont="1" applyBorder="1" applyProtection="1">
      <protection locked="0"/>
    </xf>
    <xf numFmtId="3" fontId="43" fillId="0" borderId="57" xfId="0" applyNumberFormat="1" applyFont="1" applyBorder="1" applyProtection="1">
      <protection locked="0"/>
    </xf>
    <xf numFmtId="3" fontId="46" fillId="0" borderId="56" xfId="0" applyNumberFormat="1" applyFont="1" applyBorder="1" applyProtection="1">
      <protection locked="0"/>
    </xf>
    <xf numFmtId="168" fontId="0" fillId="0" borderId="0" xfId="0" applyNumberFormat="1" applyAlignment="1" applyProtection="1">
      <alignment vertical="center"/>
      <protection locked="0"/>
    </xf>
    <xf numFmtId="38" fontId="0" fillId="0" borderId="16" xfId="2" applyNumberFormat="1" applyFont="1" applyFill="1" applyBorder="1" applyAlignment="1" applyProtection="1">
      <alignment horizontal="right"/>
      <protection locked="0"/>
    </xf>
    <xf numFmtId="168" fontId="0" fillId="0" borderId="16" xfId="2" applyNumberFormat="1" applyFont="1" applyFill="1" applyBorder="1" applyAlignment="1" applyProtection="1">
      <alignment horizontal="center"/>
      <protection locked="0"/>
    </xf>
    <xf numFmtId="169" fontId="48" fillId="0" borderId="58" xfId="2" applyNumberFormat="1" applyFont="1" applyFill="1" applyBorder="1" applyAlignment="1" applyProtection="1">
      <alignment horizontal="center" vertical="center"/>
      <protection locked="0"/>
    </xf>
    <xf numFmtId="171" fontId="4" fillId="2" borderId="59" xfId="0" applyNumberFormat="1" applyFont="1" applyFill="1" applyBorder="1" applyAlignment="1">
      <alignment vertical="center" wrapText="1"/>
    </xf>
    <xf numFmtId="171" fontId="4" fillId="2" borderId="6" xfId="0" applyNumberFormat="1" applyFont="1" applyFill="1" applyBorder="1" applyAlignment="1">
      <alignment vertical="center" wrapText="1"/>
    </xf>
    <xf numFmtId="14" fontId="4" fillId="0" borderId="29" xfId="0" applyNumberFormat="1" applyFont="1" applyBorder="1" applyAlignment="1" applyProtection="1">
      <alignment horizontal="center" vertical="center" wrapText="1"/>
      <protection locked="0"/>
    </xf>
    <xf numFmtId="0" fontId="49" fillId="0" borderId="14" xfId="0" applyFont="1" applyBorder="1" applyAlignment="1" applyProtection="1">
      <alignment vertical="center"/>
      <protection locked="0"/>
    </xf>
    <xf numFmtId="0" fontId="49" fillId="0" borderId="6" xfId="0" applyFont="1" applyBorder="1" applyAlignment="1" applyProtection="1">
      <alignment horizontal="center" vertical="center"/>
      <protection locked="0"/>
    </xf>
    <xf numFmtId="168" fontId="49" fillId="0" borderId="13" xfId="2" applyNumberFormat="1" applyFont="1" applyFill="1" applyBorder="1" applyAlignment="1" applyProtection="1">
      <alignment horizontal="center" vertical="center"/>
      <protection locked="0"/>
    </xf>
    <xf numFmtId="0" fontId="50" fillId="0" borderId="55" xfId="0" applyFont="1" applyBorder="1" applyAlignment="1" applyProtection="1">
      <alignment horizontal="center" vertical="center"/>
      <protection locked="0"/>
    </xf>
    <xf numFmtId="168" fontId="50" fillId="0" borderId="56" xfId="2" applyNumberFormat="1" applyFont="1" applyFill="1" applyBorder="1" applyAlignment="1" applyProtection="1">
      <alignment horizontal="center" vertical="center"/>
      <protection locked="0"/>
    </xf>
    <xf numFmtId="167" fontId="6" fillId="5" borderId="3" xfId="0" applyNumberFormat="1" applyFont="1" applyFill="1" applyBorder="1" applyAlignment="1" applyProtection="1">
      <alignment horizontal="center" vertical="center"/>
      <protection locked="0"/>
    </xf>
    <xf numFmtId="0" fontId="50" fillId="0" borderId="28" xfId="0" applyFont="1" applyBorder="1" applyAlignment="1" applyProtection="1">
      <alignment horizontal="center" vertical="center"/>
      <protection locked="0"/>
    </xf>
    <xf numFmtId="168" fontId="50" fillId="0" borderId="48" xfId="2" applyNumberFormat="1" applyFont="1" applyFill="1" applyBorder="1" applyAlignment="1" applyProtection="1">
      <alignment horizontal="center" vertical="center"/>
      <protection locked="0"/>
    </xf>
    <xf numFmtId="0" fontId="6" fillId="5" borderId="4" xfId="0" applyFont="1" applyFill="1" applyBorder="1" applyAlignment="1">
      <alignment horizontal="center" vertical="center" wrapText="1"/>
    </xf>
    <xf numFmtId="0" fontId="6" fillId="5" borderId="6" xfId="0" applyFont="1" applyFill="1" applyBorder="1" applyAlignment="1">
      <alignment horizontal="center" vertical="center" wrapText="1"/>
    </xf>
    <xf numFmtId="0" fontId="6" fillId="5" borderId="6" xfId="0" applyFont="1" applyFill="1" applyBorder="1" applyAlignment="1">
      <alignment horizontal="center" vertical="center"/>
    </xf>
    <xf numFmtId="168" fontId="11" fillId="5" borderId="10" xfId="2" applyNumberFormat="1" applyFont="1" applyFill="1" applyBorder="1" applyAlignment="1">
      <alignment horizontal="center" vertical="center" wrapText="1"/>
    </xf>
    <xf numFmtId="168" fontId="12" fillId="5" borderId="10" xfId="2" applyNumberFormat="1" applyFont="1" applyFill="1" applyBorder="1" applyAlignment="1">
      <alignment horizontal="center" vertical="center" wrapText="1"/>
    </xf>
    <xf numFmtId="1" fontId="11" fillId="5" borderId="10" xfId="0" applyNumberFormat="1" applyFont="1" applyFill="1" applyBorder="1" applyAlignment="1" applyProtection="1">
      <alignment horizontal="center" vertical="center" wrapText="1"/>
      <protection locked="0"/>
    </xf>
    <xf numFmtId="3" fontId="3" fillId="5" borderId="10" xfId="0" applyNumberFormat="1" applyFont="1" applyFill="1" applyBorder="1" applyAlignment="1" applyProtection="1">
      <alignment horizontal="right" vertical="center" wrapText="1"/>
      <protection locked="0"/>
    </xf>
    <xf numFmtId="0" fontId="11" fillId="5" borderId="18" xfId="0" applyFont="1" applyFill="1" applyBorder="1" applyAlignment="1" applyProtection="1">
      <alignment horizontal="center" vertical="center" wrapText="1"/>
      <protection locked="0"/>
    </xf>
    <xf numFmtId="38" fontId="37" fillId="5" borderId="4" xfId="0" applyNumberFormat="1" applyFont="1" applyFill="1" applyBorder="1" applyAlignment="1" applyProtection="1">
      <alignment horizontal="center"/>
      <protection locked="0"/>
    </xf>
    <xf numFmtId="168" fontId="27" fillId="5" borderId="4" xfId="2" applyNumberFormat="1" applyFont="1" applyFill="1" applyBorder="1"/>
    <xf numFmtId="168" fontId="33" fillId="5" borderId="4" xfId="2" applyNumberFormat="1" applyFont="1" applyFill="1" applyBorder="1" applyAlignment="1">
      <alignment horizontal="center" vertical="center" wrapText="1"/>
    </xf>
    <xf numFmtId="168" fontId="33" fillId="5" borderId="37" xfId="2" applyNumberFormat="1" applyFont="1" applyFill="1" applyBorder="1" applyAlignment="1">
      <alignment horizontal="center" vertical="center" wrapText="1"/>
    </xf>
    <xf numFmtId="38" fontId="33" fillId="5" borderId="37" xfId="0" applyNumberFormat="1" applyFont="1" applyFill="1" applyBorder="1" applyAlignment="1">
      <alignment horizontal="center" vertical="center" wrapText="1"/>
    </xf>
    <xf numFmtId="0" fontId="53" fillId="6" borderId="0" xfId="0" applyFont="1" applyFill="1" applyProtection="1">
      <protection locked="0"/>
    </xf>
    <xf numFmtId="167" fontId="52" fillId="6" borderId="0" xfId="0" applyNumberFormat="1" applyFont="1" applyFill="1" applyAlignment="1">
      <alignment horizontal="left" vertical="top"/>
    </xf>
    <xf numFmtId="167" fontId="53" fillId="6" borderId="0" xfId="0" applyNumberFormat="1" applyFont="1" applyFill="1" applyProtection="1">
      <protection locked="0"/>
    </xf>
    <xf numFmtId="167" fontId="52" fillId="6" borderId="0" xfId="0" applyNumberFormat="1" applyFont="1" applyFill="1" applyAlignment="1" applyProtection="1">
      <alignment vertical="center" wrapText="1"/>
      <protection locked="0"/>
    </xf>
    <xf numFmtId="171" fontId="52" fillId="6" borderId="0" xfId="0" applyNumberFormat="1" applyFont="1" applyFill="1" applyAlignment="1" applyProtection="1">
      <alignment vertical="center" wrapText="1"/>
      <protection locked="0"/>
    </xf>
    <xf numFmtId="171" fontId="53" fillId="6" borderId="0" xfId="0" applyNumberFormat="1" applyFont="1" applyFill="1" applyProtection="1">
      <protection locked="0"/>
    </xf>
    <xf numFmtId="167" fontId="52" fillId="6" borderId="0" xfId="0" applyNumberFormat="1" applyFont="1" applyFill="1" applyAlignment="1" applyProtection="1">
      <alignment vertical="top"/>
      <protection locked="0"/>
    </xf>
    <xf numFmtId="171" fontId="52" fillId="6" borderId="0" xfId="0" applyNumberFormat="1" applyFont="1" applyFill="1" applyAlignment="1" applyProtection="1">
      <alignment vertical="top"/>
      <protection locked="0"/>
    </xf>
    <xf numFmtId="0" fontId="24" fillId="0" borderId="6" xfId="0" applyFont="1" applyBorder="1" applyAlignment="1" applyProtection="1">
      <alignment horizontal="center" vertical="center"/>
      <protection locked="0"/>
    </xf>
    <xf numFmtId="0" fontId="24" fillId="0" borderId="24" xfId="0" applyFont="1" applyBorder="1" applyAlignment="1" applyProtection="1">
      <alignment horizontal="center" vertical="center"/>
      <protection locked="0"/>
    </xf>
    <xf numFmtId="168" fontId="24" fillId="0" borderId="25" xfId="2" applyNumberFormat="1" applyFont="1" applyBorder="1" applyAlignment="1" applyProtection="1">
      <alignment horizontal="center" vertical="center"/>
      <protection locked="0"/>
    </xf>
    <xf numFmtId="0" fontId="28" fillId="0" borderId="17" xfId="0" applyFont="1" applyBorder="1" applyAlignment="1" applyProtection="1">
      <alignment horizontal="center" vertical="center"/>
      <protection locked="0"/>
    </xf>
    <xf numFmtId="0" fontId="25" fillId="0" borderId="0" xfId="0" applyFont="1" applyAlignment="1" applyProtection="1">
      <alignment horizontal="center" vertical="center"/>
      <protection locked="0"/>
    </xf>
    <xf numFmtId="14" fontId="27" fillId="0" borderId="0" xfId="0" applyNumberFormat="1" applyFont="1" applyProtection="1">
      <protection locked="0"/>
    </xf>
    <xf numFmtId="14" fontId="25" fillId="0" borderId="0" xfId="0" applyNumberFormat="1" applyFont="1" applyProtection="1">
      <protection locked="0"/>
    </xf>
    <xf numFmtId="0" fontId="36" fillId="5" borderId="33" xfId="0" applyFont="1" applyFill="1" applyBorder="1" applyAlignment="1">
      <alignment vertical="center"/>
    </xf>
    <xf numFmtId="0" fontId="36" fillId="5" borderId="34" xfId="0" applyFont="1" applyFill="1" applyBorder="1" applyAlignment="1">
      <alignment vertical="center" wrapText="1"/>
    </xf>
    <xf numFmtId="0" fontId="36" fillId="5" borderId="35" xfId="0" applyFont="1" applyFill="1" applyBorder="1" applyAlignment="1">
      <alignment vertical="center" wrapText="1"/>
    </xf>
    <xf numFmtId="0" fontId="36" fillId="5" borderId="42" xfId="0" applyFont="1" applyFill="1" applyBorder="1" applyAlignment="1">
      <alignment horizontal="right" vertical="center"/>
    </xf>
    <xf numFmtId="0" fontId="36" fillId="5" borderId="61" xfId="0" applyFont="1" applyFill="1" applyBorder="1" applyAlignment="1">
      <alignment vertical="center" wrapText="1"/>
    </xf>
    <xf numFmtId="0" fontId="36" fillId="5" borderId="0" xfId="0" applyFont="1" applyFill="1" applyAlignment="1">
      <alignment vertical="center" wrapText="1"/>
    </xf>
    <xf numFmtId="0" fontId="36" fillId="5" borderId="39" xfId="0" applyFont="1" applyFill="1" applyBorder="1" applyAlignment="1">
      <alignment vertical="center" wrapText="1"/>
    </xf>
    <xf numFmtId="0" fontId="36" fillId="5" borderId="0" xfId="0" applyFont="1" applyFill="1" applyAlignment="1">
      <alignment horizontal="right" vertical="center"/>
    </xf>
    <xf numFmtId="0" fontId="36" fillId="5" borderId="36" xfId="0" applyFont="1" applyFill="1" applyBorder="1" applyAlignment="1">
      <alignment vertical="center" wrapText="1"/>
    </xf>
    <xf numFmtId="0" fontId="36" fillId="5" borderId="43" xfId="0" applyFont="1" applyFill="1" applyBorder="1" applyAlignment="1">
      <alignment horizontal="right" vertical="center"/>
    </xf>
    <xf numFmtId="0" fontId="20" fillId="0" borderId="0" xfId="0" applyFont="1" applyAlignment="1">
      <alignment horizontal="center" vertical="center"/>
    </xf>
    <xf numFmtId="0" fontId="20" fillId="0" borderId="26" xfId="0" applyFont="1" applyBorder="1" applyAlignment="1">
      <alignment horizontal="center" vertical="center"/>
    </xf>
    <xf numFmtId="1" fontId="20" fillId="0" borderId="31" xfId="0" applyNumberFormat="1" applyFont="1" applyBorder="1" applyAlignment="1">
      <alignment horizontal="center" vertical="center"/>
    </xf>
    <xf numFmtId="168" fontId="20" fillId="0" borderId="20" xfId="2" applyNumberFormat="1" applyFont="1" applyBorder="1" applyAlignment="1" applyProtection="1">
      <alignment horizontal="center" vertical="center"/>
    </xf>
    <xf numFmtId="0" fontId="24" fillId="0" borderId="15" xfId="0" applyFont="1" applyBorder="1" applyAlignment="1">
      <alignment horizontal="center" vertical="center"/>
    </xf>
    <xf numFmtId="0" fontId="24" fillId="0" borderId="9" xfId="0" applyFont="1" applyBorder="1" applyAlignment="1">
      <alignment horizontal="center" vertical="center"/>
    </xf>
    <xf numFmtId="0" fontId="24" fillId="0" borderId="10" xfId="0" applyFont="1" applyBorder="1" applyAlignment="1">
      <alignment horizontal="center" vertical="center"/>
    </xf>
    <xf numFmtId="0" fontId="24" fillId="0" borderId="18" xfId="0" applyFont="1" applyBorder="1" applyAlignment="1">
      <alignment horizontal="center" vertical="center"/>
    </xf>
    <xf numFmtId="0" fontId="24" fillId="0" borderId="6" xfId="0" applyFont="1" applyBorder="1" applyAlignment="1">
      <alignment horizontal="center" vertical="center"/>
    </xf>
    <xf numFmtId="0" fontId="28" fillId="0" borderId="6" xfId="0" applyFont="1" applyBorder="1" applyAlignment="1">
      <alignment horizontal="center" vertical="center"/>
    </xf>
    <xf numFmtId="168" fontId="24" fillId="0" borderId="13" xfId="2" applyNumberFormat="1" applyFont="1" applyBorder="1" applyAlignment="1" applyProtection="1">
      <alignment horizontal="center" vertical="center"/>
    </xf>
    <xf numFmtId="0" fontId="24" fillId="0" borderId="17" xfId="0" applyFont="1" applyBorder="1" applyAlignment="1">
      <alignment horizontal="center" vertical="center"/>
    </xf>
    <xf numFmtId="168" fontId="24" fillId="0" borderId="7" xfId="2" applyNumberFormat="1" applyFont="1" applyBorder="1" applyAlignment="1" applyProtection="1">
      <alignment horizontal="center" vertical="center"/>
    </xf>
    <xf numFmtId="0" fontId="41" fillId="0" borderId="55" xfId="0" applyFont="1" applyBorder="1" applyAlignment="1">
      <alignment horizontal="center" vertical="center"/>
    </xf>
    <xf numFmtId="0" fontId="51" fillId="7" borderId="28" xfId="0" applyFont="1" applyFill="1" applyBorder="1" applyAlignment="1">
      <alignment horizontal="center" vertical="center"/>
    </xf>
    <xf numFmtId="168" fontId="51" fillId="7" borderId="48" xfId="2" applyNumberFormat="1" applyFont="1" applyFill="1" applyBorder="1" applyAlignment="1" applyProtection="1">
      <alignment horizontal="center" vertical="center"/>
    </xf>
    <xf numFmtId="14" fontId="4" fillId="0" borderId="29" xfId="0" applyNumberFormat="1" applyFont="1" applyBorder="1" applyAlignment="1" applyProtection="1">
      <alignment vertical="center" wrapText="1"/>
      <protection locked="0"/>
    </xf>
    <xf numFmtId="167" fontId="6" fillId="5" borderId="33" xfId="0" applyNumberFormat="1" applyFont="1" applyFill="1" applyBorder="1" applyAlignment="1" applyProtection="1">
      <alignment horizontal="center" vertical="center"/>
      <protection locked="0"/>
    </xf>
    <xf numFmtId="171" fontId="4" fillId="2" borderId="0" xfId="0" applyNumberFormat="1" applyFont="1" applyFill="1" applyAlignment="1">
      <alignment vertical="center" wrapText="1"/>
    </xf>
    <xf numFmtId="171" fontId="4" fillId="2" borderId="32" xfId="0" applyNumberFormat="1" applyFont="1" applyFill="1" applyBorder="1" applyAlignment="1">
      <alignment vertical="center" wrapText="1"/>
    </xf>
    <xf numFmtId="171" fontId="4" fillId="2" borderId="34" xfId="0" applyNumberFormat="1" applyFont="1" applyFill="1" applyBorder="1" applyAlignment="1">
      <alignment vertical="center" wrapText="1"/>
    </xf>
    <xf numFmtId="167" fontId="6" fillId="5" borderId="4" xfId="0" applyNumberFormat="1" applyFont="1" applyFill="1" applyBorder="1" applyAlignment="1" applyProtection="1">
      <alignment horizontal="center" vertical="center"/>
      <protection locked="0"/>
    </xf>
    <xf numFmtId="167" fontId="6" fillId="5" borderId="35" xfId="0" applyNumberFormat="1" applyFont="1" applyFill="1" applyBorder="1" applyAlignment="1" applyProtection="1">
      <alignment horizontal="center" vertical="center"/>
      <protection locked="0"/>
    </xf>
    <xf numFmtId="167" fontId="52" fillId="6" borderId="0" xfId="0" applyNumberFormat="1" applyFont="1" applyFill="1" applyAlignment="1">
      <alignment horizontal="right" vertical="center" wrapText="1"/>
    </xf>
    <xf numFmtId="167" fontId="52" fillId="6" borderId="0" xfId="0" applyNumberFormat="1" applyFont="1" applyFill="1" applyAlignment="1">
      <alignment horizontal="right"/>
    </xf>
    <xf numFmtId="38" fontId="2" fillId="2" borderId="57" xfId="2" applyNumberFormat="1" applyFont="1" applyFill="1" applyBorder="1" applyAlignment="1" applyProtection="1">
      <alignment vertical="center" wrapText="1"/>
      <protection locked="0"/>
    </xf>
    <xf numFmtId="38" fontId="2" fillId="2" borderId="56" xfId="2" applyNumberFormat="1" applyFont="1" applyFill="1" applyBorder="1" applyAlignment="1" applyProtection="1">
      <alignment vertical="center" wrapText="1"/>
      <protection locked="0"/>
    </xf>
    <xf numFmtId="38" fontId="2" fillId="2" borderId="51" xfId="2" applyNumberFormat="1" applyFont="1" applyFill="1" applyBorder="1" applyAlignment="1" applyProtection="1">
      <alignment vertical="center" wrapText="1"/>
      <protection locked="0"/>
    </xf>
    <xf numFmtId="38" fontId="2" fillId="2" borderId="66" xfId="2" applyNumberFormat="1" applyFont="1" applyFill="1" applyBorder="1" applyAlignment="1" applyProtection="1">
      <alignment vertical="center" wrapText="1"/>
      <protection locked="0"/>
    </xf>
    <xf numFmtId="38" fontId="33" fillId="0" borderId="67" xfId="2" applyNumberFormat="1" applyFont="1" applyBorder="1" applyAlignment="1">
      <alignment horizontal="right" vertical="center" wrapText="1"/>
    </xf>
    <xf numFmtId="38" fontId="2" fillId="2" borderId="64" xfId="0" applyNumberFormat="1" applyFont="1" applyFill="1" applyBorder="1" applyAlignment="1" applyProtection="1">
      <alignment horizontal="right" vertical="center" wrapText="1"/>
      <protection locked="0"/>
    </xf>
    <xf numFmtId="38" fontId="2" fillId="2" borderId="55" xfId="0" applyNumberFormat="1" applyFont="1" applyFill="1" applyBorder="1" applyAlignment="1" applyProtection="1">
      <alignment horizontal="right" vertical="center" wrapText="1"/>
      <protection locked="0"/>
    </xf>
    <xf numFmtId="38" fontId="2" fillId="2" borderId="65" xfId="0" applyNumberFormat="1" applyFont="1" applyFill="1" applyBorder="1" applyAlignment="1" applyProtection="1">
      <alignment horizontal="right" vertical="center" wrapText="1"/>
      <protection locked="0"/>
    </xf>
    <xf numFmtId="38" fontId="2" fillId="2" borderId="28" xfId="0" applyNumberFormat="1" applyFont="1" applyFill="1" applyBorder="1" applyAlignment="1" applyProtection="1">
      <alignment horizontal="right" vertical="center" wrapText="1"/>
      <protection locked="0"/>
    </xf>
    <xf numFmtId="38" fontId="2" fillId="2" borderId="48" xfId="2" applyNumberFormat="1" applyFont="1" applyFill="1" applyBorder="1" applyAlignment="1" applyProtection="1">
      <alignment vertical="center" wrapText="1"/>
      <protection locked="0"/>
    </xf>
    <xf numFmtId="38" fontId="2" fillId="2" borderId="30" xfId="0" applyNumberFormat="1" applyFont="1" applyFill="1" applyBorder="1" applyAlignment="1" applyProtection="1">
      <alignment horizontal="right" vertical="center" wrapText="1"/>
      <protection locked="0"/>
    </xf>
    <xf numFmtId="38" fontId="0" fillId="2" borderId="64" xfId="0" applyNumberFormat="1" applyFill="1" applyBorder="1" applyProtection="1">
      <protection locked="0"/>
    </xf>
    <xf numFmtId="171" fontId="4" fillId="2" borderId="17" xfId="0" applyNumberFormat="1" applyFont="1" applyFill="1" applyBorder="1" applyAlignment="1">
      <alignment vertical="center" wrapText="1"/>
    </xf>
    <xf numFmtId="171" fontId="4" fillId="2" borderId="24" xfId="0" applyNumberFormat="1" applyFont="1" applyFill="1" applyBorder="1" applyAlignment="1">
      <alignment vertical="center" wrapText="1"/>
    </xf>
    <xf numFmtId="171" fontId="4" fillId="2" borderId="69" xfId="0" applyNumberFormat="1" applyFont="1" applyFill="1" applyBorder="1" applyAlignment="1">
      <alignment vertical="center" wrapText="1"/>
    </xf>
    <xf numFmtId="171" fontId="4" fillId="2" borderId="72" xfId="0" applyNumberFormat="1" applyFont="1" applyFill="1" applyBorder="1" applyAlignment="1">
      <alignment vertical="center" wrapText="1"/>
    </xf>
    <xf numFmtId="14" fontId="4" fillId="0" borderId="52" xfId="0" applyNumberFormat="1" applyFont="1" applyBorder="1" applyAlignment="1" applyProtection="1">
      <alignment vertical="center" wrapText="1"/>
      <protection locked="0"/>
    </xf>
    <xf numFmtId="14" fontId="4" fillId="0" borderId="26" xfId="0" applyNumberFormat="1" applyFont="1" applyBorder="1" applyAlignment="1" applyProtection="1">
      <alignment vertical="center" wrapText="1"/>
      <protection locked="0"/>
    </xf>
    <xf numFmtId="0" fontId="20" fillId="0" borderId="80" xfId="0" applyFont="1" applyBorder="1" applyAlignment="1">
      <alignment horizontal="center" vertical="center"/>
    </xf>
    <xf numFmtId="0" fontId="20" fillId="0" borderId="58" xfId="0" applyFont="1" applyBorder="1" applyAlignment="1">
      <alignment horizontal="center" vertical="center"/>
    </xf>
    <xf numFmtId="168" fontId="24" fillId="0" borderId="23" xfId="2" applyNumberFormat="1" applyFont="1" applyBorder="1" applyAlignment="1" applyProtection="1">
      <alignment horizontal="center" vertical="center"/>
      <protection locked="0"/>
    </xf>
    <xf numFmtId="168" fontId="49" fillId="0" borderId="14" xfId="2" applyNumberFormat="1" applyFont="1" applyFill="1" applyBorder="1" applyAlignment="1" applyProtection="1">
      <alignment horizontal="center" vertical="center"/>
      <protection locked="0"/>
    </xf>
    <xf numFmtId="0" fontId="43" fillId="0" borderId="64" xfId="0" applyFont="1" applyBorder="1" applyProtection="1">
      <protection locked="0"/>
    </xf>
    <xf numFmtId="0" fontId="46" fillId="0" borderId="55" xfId="0" applyFont="1" applyBorder="1" applyProtection="1">
      <protection locked="0"/>
    </xf>
    <xf numFmtId="0" fontId="43" fillId="0" borderId="55" xfId="0" applyFont="1" applyBorder="1" applyProtection="1">
      <protection locked="0"/>
    </xf>
    <xf numFmtId="0" fontId="47" fillId="0" borderId="55" xfId="0" applyFont="1" applyBorder="1" applyProtection="1">
      <protection locked="0"/>
    </xf>
    <xf numFmtId="1" fontId="44" fillId="0" borderId="56" xfId="0" applyNumberFormat="1" applyFont="1" applyBorder="1" applyProtection="1">
      <protection locked="0"/>
    </xf>
    <xf numFmtId="0" fontId="45" fillId="0" borderId="55" xfId="0" applyFont="1" applyBorder="1" applyProtection="1">
      <protection locked="0"/>
    </xf>
    <xf numFmtId="0" fontId="24" fillId="0" borderId="55" xfId="0" applyFont="1" applyBorder="1" applyAlignment="1" applyProtection="1">
      <alignment horizontal="left" vertical="center"/>
      <protection locked="0"/>
    </xf>
    <xf numFmtId="1" fontId="24" fillId="0" borderId="51" xfId="0" applyNumberFormat="1" applyFont="1" applyBorder="1" applyAlignment="1" applyProtection="1">
      <alignment horizontal="right" vertical="center"/>
      <protection locked="0"/>
    </xf>
    <xf numFmtId="0" fontId="49" fillId="0" borderId="55" xfId="0" applyFont="1" applyBorder="1" applyAlignment="1" applyProtection="1">
      <alignment horizontal="left" vertical="center"/>
      <protection locked="0"/>
    </xf>
    <xf numFmtId="1" fontId="49" fillId="0" borderId="51" xfId="0" applyNumberFormat="1" applyFont="1" applyBorder="1" applyAlignment="1" applyProtection="1">
      <alignment horizontal="right" vertical="center"/>
      <protection locked="0"/>
    </xf>
    <xf numFmtId="1" fontId="49" fillId="0" borderId="56" xfId="0" applyNumberFormat="1" applyFont="1" applyBorder="1" applyAlignment="1" applyProtection="1">
      <alignment horizontal="right" vertical="center"/>
      <protection locked="0"/>
    </xf>
    <xf numFmtId="0" fontId="24" fillId="0" borderId="65" xfId="0" applyFont="1" applyBorder="1" applyAlignment="1" applyProtection="1">
      <alignment horizontal="left" vertical="center"/>
      <protection locked="0"/>
    </xf>
    <xf numFmtId="1" fontId="49" fillId="0" borderId="50" xfId="0" applyNumberFormat="1" applyFont="1" applyBorder="1" applyAlignment="1" applyProtection="1">
      <alignment horizontal="right" vertical="center"/>
      <protection locked="0"/>
    </xf>
    <xf numFmtId="0" fontId="21" fillId="0" borderId="0" xfId="0" applyFont="1" applyAlignment="1" applyProtection="1">
      <alignment horizontal="center" vertical="center"/>
      <protection locked="0"/>
    </xf>
    <xf numFmtId="0" fontId="35" fillId="5" borderId="44" xfId="0" applyFont="1" applyFill="1" applyBorder="1" applyAlignment="1" applyProtection="1">
      <alignment horizontal="center" vertical="center"/>
      <protection locked="0"/>
    </xf>
    <xf numFmtId="0" fontId="35" fillId="5" borderId="45" xfId="0" applyFont="1" applyFill="1" applyBorder="1" applyAlignment="1" applyProtection="1">
      <alignment horizontal="center" vertical="center"/>
      <protection locked="0"/>
    </xf>
    <xf numFmtId="172" fontId="35" fillId="5" borderId="44" xfId="0" applyNumberFormat="1" applyFont="1" applyFill="1" applyBorder="1" applyAlignment="1" applyProtection="1">
      <alignment horizontal="center"/>
      <protection locked="0"/>
    </xf>
    <xf numFmtId="172" fontId="35" fillId="5" borderId="45" xfId="0" applyNumberFormat="1" applyFont="1" applyFill="1" applyBorder="1" applyAlignment="1" applyProtection="1">
      <alignment horizontal="center"/>
      <protection locked="0"/>
    </xf>
    <xf numFmtId="173" fontId="35" fillId="5" borderId="44" xfId="0" applyNumberFormat="1" applyFont="1" applyFill="1" applyBorder="1" applyAlignment="1" applyProtection="1">
      <alignment horizontal="center"/>
      <protection locked="0"/>
    </xf>
    <xf numFmtId="173" fontId="35" fillId="5" borderId="45" xfId="0" applyNumberFormat="1" applyFont="1" applyFill="1" applyBorder="1" applyAlignment="1" applyProtection="1">
      <alignment horizontal="center"/>
      <protection locked="0"/>
    </xf>
    <xf numFmtId="0" fontId="53" fillId="6" borderId="0" xfId="0" applyFont="1" applyFill="1" applyAlignment="1">
      <alignment horizontal="center" wrapText="1"/>
    </xf>
    <xf numFmtId="0" fontId="1" fillId="0" borderId="0" xfId="0" applyFont="1" applyAlignment="1" applyProtection="1">
      <alignment vertical="center"/>
      <protection locked="0"/>
    </xf>
    <xf numFmtId="49" fontId="36" fillId="5" borderId="31" xfId="0" applyNumberFormat="1" applyFont="1" applyFill="1" applyBorder="1" applyAlignment="1" applyProtection="1">
      <alignment horizontal="center" vertical="center"/>
      <protection locked="0"/>
    </xf>
    <xf numFmtId="49" fontId="36" fillId="5" borderId="27" xfId="0" applyNumberFormat="1" applyFont="1" applyFill="1" applyBorder="1" applyAlignment="1" applyProtection="1">
      <alignment horizontal="center" vertical="center"/>
      <protection locked="0"/>
    </xf>
    <xf numFmtId="14" fontId="4" fillId="0" borderId="29" xfId="0" applyNumberFormat="1" applyFont="1" applyBorder="1" applyAlignment="1" applyProtection="1">
      <alignment horizontal="center" vertical="center" wrapText="1"/>
      <protection locked="0"/>
    </xf>
    <xf numFmtId="49" fontId="4" fillId="2" borderId="22" xfId="0" applyNumberFormat="1" applyFont="1" applyFill="1" applyBorder="1" applyAlignment="1" applyProtection="1">
      <alignment horizontal="center" vertical="center" wrapText="1"/>
      <protection locked="0"/>
    </xf>
    <xf numFmtId="167" fontId="6" fillId="0" borderId="15" xfId="0" applyNumberFormat="1" applyFont="1" applyBorder="1" applyAlignment="1">
      <alignment horizontal="center" vertical="center" wrapText="1"/>
    </xf>
    <xf numFmtId="170" fontId="3" fillId="0" borderId="21" xfId="0" applyNumberFormat="1" applyFont="1" applyBorder="1" applyAlignment="1">
      <alignment horizontal="center" vertical="center" wrapText="1"/>
    </xf>
    <xf numFmtId="38" fontId="19" fillId="0" borderId="41" xfId="0" applyNumberFormat="1" applyFont="1" applyBorder="1" applyAlignment="1">
      <alignment horizontal="center" vertical="center"/>
    </xf>
    <xf numFmtId="38" fontId="19" fillId="0" borderId="38" xfId="0" applyNumberFormat="1" applyFont="1" applyBorder="1" applyAlignment="1">
      <alignment horizontal="center" vertical="center"/>
    </xf>
    <xf numFmtId="38" fontId="2" fillId="0" borderId="22" xfId="2" applyNumberFormat="1" applyFont="1" applyBorder="1" applyAlignment="1">
      <alignment horizontal="center" vertical="center" wrapText="1"/>
    </xf>
    <xf numFmtId="38" fontId="2" fillId="0" borderId="15" xfId="2" applyNumberFormat="1" applyFont="1" applyBorder="1" applyAlignment="1">
      <alignment horizontal="center" vertical="center" wrapText="1"/>
    </xf>
    <xf numFmtId="38" fontId="2" fillId="0" borderId="21" xfId="2" applyNumberFormat="1" applyFont="1" applyBorder="1" applyAlignment="1">
      <alignment horizontal="center" vertical="center" wrapText="1"/>
    </xf>
    <xf numFmtId="14" fontId="4" fillId="0" borderId="52" xfId="0" applyNumberFormat="1" applyFont="1" applyBorder="1" applyAlignment="1" applyProtection="1">
      <alignment horizontal="center" vertical="center" wrapText="1"/>
      <protection locked="0"/>
    </xf>
    <xf numFmtId="14" fontId="4" fillId="0" borderId="26" xfId="0" applyNumberFormat="1" applyFont="1" applyBorder="1" applyAlignment="1" applyProtection="1">
      <alignment horizontal="center" vertical="center" wrapText="1"/>
      <protection locked="0"/>
    </xf>
    <xf numFmtId="49" fontId="4" fillId="2" borderId="54" xfId="0" applyNumberFormat="1" applyFont="1" applyFill="1" applyBorder="1" applyAlignment="1" applyProtection="1">
      <alignment horizontal="center" vertical="center" wrapText="1"/>
      <protection locked="0"/>
    </xf>
    <xf numFmtId="49" fontId="4" fillId="2" borderId="63" xfId="0" applyNumberFormat="1" applyFont="1" applyFill="1" applyBorder="1" applyAlignment="1" applyProtection="1">
      <alignment horizontal="center" vertical="center" wrapText="1"/>
      <protection locked="0"/>
    </xf>
    <xf numFmtId="167" fontId="6" fillId="0" borderId="47" xfId="0" applyNumberFormat="1" applyFont="1" applyBorder="1" applyAlignment="1">
      <alignment horizontal="center" vertical="center" wrapText="1"/>
    </xf>
    <xf numFmtId="167" fontId="6" fillId="0" borderId="46" xfId="0" applyNumberFormat="1" applyFont="1" applyBorder="1" applyAlignment="1">
      <alignment horizontal="center" vertical="center" wrapText="1"/>
    </xf>
    <xf numFmtId="170" fontId="3" fillId="0" borderId="32" xfId="0" applyNumberFormat="1" applyFont="1" applyBorder="1" applyAlignment="1">
      <alignment horizontal="center" vertical="center" wrapText="1"/>
    </xf>
    <xf numFmtId="170" fontId="3" fillId="0" borderId="20" xfId="0" applyNumberFormat="1" applyFont="1" applyBorder="1" applyAlignment="1">
      <alignment horizontal="center" vertical="center" wrapText="1"/>
    </xf>
    <xf numFmtId="38" fontId="19" fillId="0" borderId="37" xfId="0" applyNumberFormat="1" applyFont="1" applyBorder="1" applyAlignment="1">
      <alignment horizontal="center" vertical="center"/>
    </xf>
    <xf numFmtId="38" fontId="2" fillId="0" borderId="54" xfId="2" applyNumberFormat="1" applyFont="1" applyBorder="1" applyAlignment="1">
      <alignment horizontal="center" vertical="center" wrapText="1"/>
    </xf>
    <xf numFmtId="38" fontId="2" fillId="0" borderId="63" xfId="2" applyNumberFormat="1" applyFont="1" applyBorder="1" applyAlignment="1">
      <alignment horizontal="center" vertical="center" wrapText="1"/>
    </xf>
    <xf numFmtId="38" fontId="2" fillId="0" borderId="47" xfId="2" applyNumberFormat="1" applyFont="1" applyBorder="1" applyAlignment="1">
      <alignment horizontal="center" vertical="center" wrapText="1"/>
    </xf>
    <xf numFmtId="38" fontId="2" fillId="0" borderId="46" xfId="2" applyNumberFormat="1" applyFont="1" applyBorder="1" applyAlignment="1">
      <alignment horizontal="center" vertical="center" wrapText="1"/>
    </xf>
    <xf numFmtId="38" fontId="2" fillId="0" borderId="32" xfId="2" applyNumberFormat="1" applyFont="1" applyBorder="1" applyAlignment="1">
      <alignment horizontal="center" vertical="center" wrapText="1"/>
    </xf>
    <xf numFmtId="38" fontId="2" fillId="0" borderId="20" xfId="2" applyNumberFormat="1" applyFont="1" applyBorder="1" applyAlignment="1">
      <alignment horizontal="center" vertical="center" wrapText="1"/>
    </xf>
    <xf numFmtId="38" fontId="2" fillId="0" borderId="53" xfId="2" applyNumberFormat="1" applyFont="1" applyBorder="1" applyAlignment="1">
      <alignment horizontal="center" vertical="center" wrapText="1"/>
    </xf>
    <xf numFmtId="38" fontId="2" fillId="0" borderId="49" xfId="2" applyNumberFormat="1" applyFont="1" applyBorder="1" applyAlignment="1">
      <alignment horizontal="center" vertical="center" wrapText="1"/>
    </xf>
    <xf numFmtId="38" fontId="2" fillId="0" borderId="50" xfId="2" applyNumberFormat="1" applyFont="1" applyBorder="1" applyAlignment="1">
      <alignment horizontal="center" vertical="center" wrapText="1"/>
    </xf>
    <xf numFmtId="38" fontId="2" fillId="0" borderId="37" xfId="2" applyNumberFormat="1" applyFont="1" applyBorder="1" applyAlignment="1">
      <alignment horizontal="center" vertical="center" wrapText="1"/>
    </xf>
    <xf numFmtId="38" fontId="2" fillId="0" borderId="41" xfId="2" applyNumberFormat="1" applyFont="1" applyBorder="1" applyAlignment="1">
      <alignment horizontal="center" vertical="center" wrapText="1"/>
    </xf>
    <xf numFmtId="38" fontId="2" fillId="0" borderId="38" xfId="2" applyNumberFormat="1" applyFont="1" applyBorder="1" applyAlignment="1">
      <alignment horizontal="center" vertical="center" wrapText="1"/>
    </xf>
    <xf numFmtId="49" fontId="4" fillId="2" borderId="15" xfId="0" applyNumberFormat="1" applyFont="1" applyFill="1" applyBorder="1" applyAlignment="1" applyProtection="1">
      <alignment horizontal="center" vertical="center" wrapText="1"/>
      <protection locked="0"/>
    </xf>
    <xf numFmtId="38" fontId="2" fillId="0" borderId="0" xfId="2" applyNumberFormat="1" applyFont="1" applyBorder="1" applyAlignment="1">
      <alignment horizontal="center" vertical="center" wrapText="1"/>
    </xf>
    <xf numFmtId="49" fontId="4" fillId="2" borderId="47" xfId="0" applyNumberFormat="1" applyFont="1" applyFill="1" applyBorder="1" applyAlignment="1" applyProtection="1">
      <alignment horizontal="center" vertical="center" wrapText="1"/>
      <protection locked="0"/>
    </xf>
    <xf numFmtId="49" fontId="4" fillId="2" borderId="46" xfId="0" applyNumberFormat="1" applyFont="1" applyFill="1" applyBorder="1" applyAlignment="1" applyProtection="1">
      <alignment horizontal="center" vertical="center" wrapText="1"/>
      <protection locked="0"/>
    </xf>
    <xf numFmtId="167" fontId="23" fillId="0" borderId="47" xfId="0" applyNumberFormat="1" applyFont="1" applyBorder="1" applyAlignment="1">
      <alignment horizontal="center" vertical="center" wrapText="1"/>
    </xf>
    <xf numFmtId="167" fontId="23" fillId="0" borderId="15" xfId="0" applyNumberFormat="1" applyFont="1" applyBorder="1" applyAlignment="1">
      <alignment horizontal="center" vertical="center" wrapText="1"/>
    </xf>
    <xf numFmtId="167" fontId="23" fillId="0" borderId="46" xfId="0" applyNumberFormat="1" applyFont="1" applyBorder="1" applyAlignment="1">
      <alignment horizontal="center" vertical="center" wrapText="1"/>
    </xf>
    <xf numFmtId="38" fontId="2" fillId="0" borderId="52" xfId="2" applyNumberFormat="1" applyFont="1" applyBorder="1" applyAlignment="1">
      <alignment horizontal="center" vertical="center" wrapText="1"/>
    </xf>
    <xf numFmtId="38" fontId="2" fillId="0" borderId="29" xfId="2" applyNumberFormat="1" applyFont="1" applyBorder="1" applyAlignment="1">
      <alignment horizontal="center" vertical="center" wrapText="1"/>
    </xf>
    <xf numFmtId="38" fontId="2" fillId="0" borderId="26" xfId="2" applyNumberFormat="1" applyFont="1" applyBorder="1" applyAlignment="1">
      <alignment horizontal="center" vertical="center" wrapText="1"/>
    </xf>
    <xf numFmtId="170" fontId="3" fillId="0" borderId="53" xfId="0" applyNumberFormat="1" applyFont="1" applyBorder="1" applyAlignment="1">
      <alignment horizontal="center" vertical="center" wrapText="1"/>
    </xf>
    <xf numFmtId="170" fontId="3" fillId="0" borderId="49" xfId="0" applyNumberFormat="1" applyFont="1" applyBorder="1" applyAlignment="1">
      <alignment horizontal="center" vertical="center" wrapText="1"/>
    </xf>
    <xf numFmtId="170" fontId="3" fillId="0" borderId="50" xfId="0" applyNumberFormat="1" applyFont="1" applyBorder="1" applyAlignment="1">
      <alignment horizontal="center" vertical="center" wrapText="1"/>
    </xf>
    <xf numFmtId="167" fontId="0" fillId="0" borderId="32" xfId="0" applyNumberFormat="1" applyBorder="1" applyAlignment="1" applyProtection="1">
      <alignment horizontal="center"/>
      <protection locked="0"/>
    </xf>
    <xf numFmtId="167" fontId="0" fillId="0" borderId="21" xfId="0" applyNumberFormat="1" applyBorder="1" applyAlignment="1" applyProtection="1">
      <alignment horizontal="center"/>
      <protection locked="0"/>
    </xf>
    <xf numFmtId="167" fontId="0" fillId="0" borderId="20" xfId="0" applyNumberFormat="1" applyBorder="1" applyAlignment="1" applyProtection="1">
      <alignment horizontal="center"/>
      <protection locked="0"/>
    </xf>
    <xf numFmtId="171" fontId="4" fillId="2" borderId="34" xfId="0" applyNumberFormat="1" applyFont="1" applyFill="1" applyBorder="1" applyAlignment="1">
      <alignment horizontal="center" vertical="center" wrapText="1"/>
    </xf>
    <xf numFmtId="171" fontId="4" fillId="2" borderId="0" xfId="0" applyNumberFormat="1" applyFont="1" applyFill="1" applyAlignment="1">
      <alignment horizontal="center" vertical="center" wrapText="1"/>
    </xf>
    <xf numFmtId="171" fontId="4" fillId="2" borderId="31" xfId="0" applyNumberFormat="1" applyFont="1" applyFill="1" applyBorder="1" applyAlignment="1">
      <alignment horizontal="center" vertical="center" wrapText="1"/>
    </xf>
    <xf numFmtId="167" fontId="53" fillId="6" borderId="0" xfId="0" applyNumberFormat="1" applyFont="1" applyFill="1" applyProtection="1">
      <protection locked="0"/>
    </xf>
    <xf numFmtId="167" fontId="54" fillId="6" borderId="0" xfId="0" applyNumberFormat="1" applyFont="1" applyFill="1" applyAlignment="1">
      <alignment horizontal="center"/>
    </xf>
    <xf numFmtId="167" fontId="6" fillId="5" borderId="37" xfId="0" applyNumberFormat="1" applyFont="1" applyFill="1" applyBorder="1" applyAlignment="1" applyProtection="1">
      <alignment horizontal="center" vertical="center" wrapText="1"/>
      <protection locked="0"/>
    </xf>
    <xf numFmtId="167" fontId="6" fillId="5" borderId="41" xfId="0" applyNumberFormat="1" applyFont="1" applyFill="1" applyBorder="1" applyAlignment="1" applyProtection="1">
      <alignment horizontal="center" vertical="center" wrapText="1"/>
      <protection locked="0"/>
    </xf>
    <xf numFmtId="167" fontId="7" fillId="5" borderId="3" xfId="0" applyNumberFormat="1" applyFont="1" applyFill="1" applyBorder="1" applyAlignment="1" applyProtection="1">
      <alignment horizontal="center" vertical="center"/>
      <protection locked="0"/>
    </xf>
    <xf numFmtId="167" fontId="7" fillId="5" borderId="5" xfId="0" applyNumberFormat="1" applyFont="1" applyFill="1" applyBorder="1" applyAlignment="1" applyProtection="1">
      <alignment horizontal="center" vertical="center"/>
      <protection locked="0"/>
    </xf>
    <xf numFmtId="167" fontId="7" fillId="5" borderId="2" xfId="0" applyNumberFormat="1" applyFont="1" applyFill="1" applyBorder="1" applyAlignment="1" applyProtection="1">
      <alignment horizontal="center" vertical="center"/>
      <protection locked="0"/>
    </xf>
    <xf numFmtId="167" fontId="6" fillId="5" borderId="37" xfId="0" applyNumberFormat="1" applyFont="1" applyFill="1" applyBorder="1" applyAlignment="1" applyProtection="1">
      <alignment horizontal="center" vertical="center"/>
      <protection locked="0"/>
    </xf>
    <xf numFmtId="167" fontId="6" fillId="5" borderId="41" xfId="0" applyNumberFormat="1" applyFont="1" applyFill="1" applyBorder="1" applyAlignment="1" applyProtection="1">
      <alignment horizontal="center" vertical="center"/>
      <protection locked="0"/>
    </xf>
    <xf numFmtId="167" fontId="1" fillId="0" borderId="31" xfId="0" applyNumberFormat="1" applyFont="1" applyBorder="1" applyAlignment="1" applyProtection="1">
      <alignment horizontal="center"/>
      <protection locked="0"/>
    </xf>
    <xf numFmtId="167" fontId="6" fillId="5" borderId="33" xfId="0" applyNumberFormat="1" applyFont="1" applyFill="1" applyBorder="1" applyAlignment="1" applyProtection="1">
      <alignment horizontal="center" vertical="center" wrapText="1"/>
      <protection locked="0"/>
    </xf>
    <xf numFmtId="167" fontId="6" fillId="5" borderId="34" xfId="0" applyNumberFormat="1" applyFont="1" applyFill="1" applyBorder="1" applyAlignment="1" applyProtection="1">
      <alignment horizontal="center" vertical="center" wrapText="1"/>
      <protection locked="0"/>
    </xf>
    <xf numFmtId="167" fontId="6" fillId="5" borderId="35" xfId="0" applyNumberFormat="1" applyFont="1" applyFill="1" applyBorder="1" applyAlignment="1" applyProtection="1">
      <alignment horizontal="center" vertical="center" wrapText="1"/>
      <protection locked="0"/>
    </xf>
    <xf numFmtId="167" fontId="6" fillId="5" borderId="61" xfId="0" applyNumberFormat="1" applyFont="1" applyFill="1" applyBorder="1" applyAlignment="1" applyProtection="1">
      <alignment horizontal="center" vertical="center" wrapText="1"/>
      <protection locked="0"/>
    </xf>
    <xf numFmtId="167" fontId="6" fillId="5" borderId="0" xfId="0" applyNumberFormat="1" applyFont="1" applyFill="1" applyAlignment="1" applyProtection="1">
      <alignment horizontal="center" vertical="center" wrapText="1"/>
      <protection locked="0"/>
    </xf>
    <xf numFmtId="167" fontId="6" fillId="5" borderId="39" xfId="0" applyNumberFormat="1" applyFont="1" applyFill="1" applyBorder="1" applyAlignment="1" applyProtection="1">
      <alignment horizontal="center" vertical="center" wrapText="1"/>
      <protection locked="0"/>
    </xf>
    <xf numFmtId="49" fontId="53" fillId="6" borderId="0" xfId="0" applyNumberFormat="1" applyFont="1" applyFill="1" applyAlignment="1" applyProtection="1">
      <alignment horizontal="center"/>
      <protection locked="0"/>
    </xf>
    <xf numFmtId="167" fontId="53" fillId="6" borderId="13" xfId="0" applyNumberFormat="1" applyFont="1" applyFill="1" applyBorder="1" applyAlignment="1" applyProtection="1">
      <alignment horizontal="left" vertical="center" wrapText="1"/>
      <protection locked="0"/>
    </xf>
    <xf numFmtId="167" fontId="53" fillId="6" borderId="58" xfId="0" applyNumberFormat="1" applyFont="1" applyFill="1" applyBorder="1" applyAlignment="1" applyProtection="1">
      <alignment horizontal="left" vertical="center" wrapText="1"/>
      <protection locked="0"/>
    </xf>
    <xf numFmtId="167" fontId="53" fillId="6" borderId="14" xfId="0" applyNumberFormat="1" applyFont="1" applyFill="1" applyBorder="1" applyAlignment="1" applyProtection="1">
      <alignment horizontal="left" vertical="center" wrapText="1"/>
      <protection locked="0"/>
    </xf>
    <xf numFmtId="167" fontId="53" fillId="6" borderId="0" xfId="0" applyNumberFormat="1" applyFont="1" applyFill="1" applyAlignment="1">
      <alignment horizontal="left"/>
    </xf>
    <xf numFmtId="173" fontId="53" fillId="6" borderId="0" xfId="0" applyNumberFormat="1" applyFont="1" applyFill="1" applyAlignment="1">
      <alignment horizontal="left" vertical="top"/>
    </xf>
    <xf numFmtId="167" fontId="12" fillId="0" borderId="3" xfId="0" applyNumberFormat="1" applyFont="1" applyBorder="1" applyAlignment="1" applyProtection="1">
      <alignment horizontal="center"/>
      <protection locked="0"/>
    </xf>
    <xf numFmtId="167" fontId="12" fillId="0" borderId="2" xfId="0" applyNumberFormat="1" applyFont="1" applyBorder="1" applyAlignment="1" applyProtection="1">
      <alignment horizontal="center"/>
      <protection locked="0"/>
    </xf>
    <xf numFmtId="167" fontId="6" fillId="5" borderId="3" xfId="0" applyNumberFormat="1" applyFont="1" applyFill="1" applyBorder="1" applyAlignment="1" applyProtection="1">
      <alignment horizontal="center" vertical="center"/>
      <protection locked="0"/>
    </xf>
    <xf numFmtId="167" fontId="6" fillId="5" borderId="2" xfId="0" applyNumberFormat="1" applyFont="1" applyFill="1" applyBorder="1" applyAlignment="1" applyProtection="1">
      <alignment horizontal="center" vertical="center"/>
      <protection locked="0"/>
    </xf>
    <xf numFmtId="167" fontId="6" fillId="0" borderId="54" xfId="0" applyNumberFormat="1" applyFont="1" applyBorder="1" applyAlignment="1">
      <alignment horizontal="center" vertical="center" wrapText="1"/>
    </xf>
    <xf numFmtId="167" fontId="6" fillId="0" borderId="22" xfId="0" applyNumberFormat="1" applyFont="1" applyBorder="1" applyAlignment="1">
      <alignment horizontal="center" vertical="center" wrapText="1"/>
    </xf>
    <xf numFmtId="167" fontId="6" fillId="0" borderId="63" xfId="0" applyNumberFormat="1" applyFont="1" applyBorder="1" applyAlignment="1">
      <alignment horizontal="center" vertical="center" wrapText="1"/>
    </xf>
    <xf numFmtId="167" fontId="11" fillId="0" borderId="0" xfId="0" applyNumberFormat="1" applyFont="1" applyAlignment="1" applyProtection="1">
      <alignment horizontal="left" vertical="center"/>
      <protection locked="0"/>
    </xf>
    <xf numFmtId="38" fontId="33" fillId="0" borderId="3" xfId="0" applyNumberFormat="1" applyFont="1" applyBorder="1" applyAlignment="1" applyProtection="1">
      <alignment horizontal="center" vertical="center" wrapText="1"/>
      <protection locked="0"/>
    </xf>
    <xf numFmtId="38" fontId="33" fillId="0" borderId="5" xfId="0" applyNumberFormat="1" applyFont="1" applyBorder="1" applyAlignment="1" applyProtection="1">
      <alignment horizontal="center" vertical="center" wrapText="1"/>
      <protection locked="0"/>
    </xf>
    <xf numFmtId="38" fontId="33" fillId="0" borderId="2" xfId="0" applyNumberFormat="1" applyFont="1" applyBorder="1" applyAlignment="1" applyProtection="1">
      <alignment horizontal="center" vertical="center" wrapText="1"/>
      <protection locked="0"/>
    </xf>
    <xf numFmtId="171" fontId="4" fillId="2" borderId="32" xfId="0" applyNumberFormat="1" applyFont="1" applyFill="1" applyBorder="1" applyAlignment="1">
      <alignment horizontal="center" vertical="center" wrapText="1"/>
    </xf>
    <xf numFmtId="171" fontId="4" fillId="2" borderId="21" xfId="0" applyNumberFormat="1" applyFont="1" applyFill="1" applyBorder="1" applyAlignment="1">
      <alignment horizontal="center" vertical="center" wrapText="1"/>
    </xf>
    <xf numFmtId="171" fontId="4" fillId="2" borderId="20" xfId="0" applyNumberFormat="1" applyFont="1" applyFill="1" applyBorder="1" applyAlignment="1">
      <alignment horizontal="center" vertical="center" wrapText="1"/>
    </xf>
    <xf numFmtId="14" fontId="4" fillId="0" borderId="68" xfId="0" applyNumberFormat="1" applyFont="1" applyBorder="1" applyAlignment="1" applyProtection="1">
      <alignment horizontal="center" vertical="center" wrapText="1"/>
      <protection locked="0"/>
    </xf>
    <xf numFmtId="14" fontId="4" fillId="0" borderId="62" xfId="0" applyNumberFormat="1" applyFont="1" applyBorder="1" applyAlignment="1" applyProtection="1">
      <alignment horizontal="center" vertical="center" wrapText="1"/>
      <protection locked="0"/>
    </xf>
    <xf numFmtId="14" fontId="4" fillId="0" borderId="71" xfId="0" applyNumberFormat="1" applyFont="1" applyBorder="1" applyAlignment="1" applyProtection="1">
      <alignment horizontal="center" vertical="center" wrapText="1"/>
      <protection locked="0"/>
    </xf>
    <xf numFmtId="49" fontId="4" fillId="2" borderId="70" xfId="0" applyNumberFormat="1" applyFont="1" applyFill="1" applyBorder="1" applyAlignment="1" applyProtection="1">
      <alignment horizontal="center" vertical="center" wrapText="1"/>
      <protection locked="0"/>
    </xf>
    <xf numFmtId="49" fontId="4" fillId="2" borderId="60" xfId="0" applyNumberFormat="1" applyFont="1" applyFill="1" applyBorder="1" applyAlignment="1" applyProtection="1">
      <alignment horizontal="center" vertical="center" wrapText="1"/>
      <protection locked="0"/>
    </xf>
    <xf numFmtId="49" fontId="4" fillId="2" borderId="73" xfId="0" applyNumberFormat="1" applyFont="1" applyFill="1" applyBorder="1" applyAlignment="1" applyProtection="1">
      <alignment horizontal="center" vertical="center" wrapText="1"/>
      <protection locked="0"/>
    </xf>
    <xf numFmtId="167" fontId="6" fillId="0" borderId="70" xfId="0" applyNumberFormat="1" applyFont="1" applyBorder="1" applyAlignment="1">
      <alignment horizontal="center" vertical="center" wrapText="1"/>
    </xf>
    <xf numFmtId="167" fontId="6" fillId="0" borderId="60" xfId="0" applyNumberFormat="1" applyFont="1" applyBorder="1" applyAlignment="1">
      <alignment horizontal="center" vertical="center" wrapText="1"/>
    </xf>
    <xf numFmtId="167" fontId="6" fillId="0" borderId="73" xfId="0" applyNumberFormat="1" applyFont="1" applyBorder="1" applyAlignment="1">
      <alignment horizontal="center" vertical="center" wrapText="1"/>
    </xf>
    <xf numFmtId="170" fontId="3" fillId="0" borderId="74" xfId="0" applyNumberFormat="1" applyFont="1" applyBorder="1" applyAlignment="1">
      <alignment horizontal="center" vertical="center" wrapText="1"/>
    </xf>
    <xf numFmtId="170" fontId="3" fillId="0" borderId="75" xfId="0" applyNumberFormat="1" applyFont="1" applyBorder="1" applyAlignment="1">
      <alignment horizontal="center" vertical="center" wrapText="1"/>
    </xf>
    <xf numFmtId="170" fontId="3" fillId="0" borderId="76" xfId="0" applyNumberFormat="1" applyFont="1" applyBorder="1" applyAlignment="1">
      <alignment horizontal="center" vertical="center" wrapText="1"/>
    </xf>
    <xf numFmtId="38" fontId="2" fillId="0" borderId="77" xfId="2" applyNumberFormat="1" applyFont="1" applyBorder="1" applyAlignment="1">
      <alignment horizontal="center" vertical="center" wrapText="1"/>
    </xf>
    <xf numFmtId="38" fontId="2" fillId="0" borderId="78" xfId="2" applyNumberFormat="1" applyFont="1" applyBorder="1" applyAlignment="1">
      <alignment horizontal="center" vertical="center" wrapText="1"/>
    </xf>
    <xf numFmtId="38" fontId="2" fillId="0" borderId="79" xfId="2" applyNumberFormat="1" applyFont="1" applyBorder="1" applyAlignment="1">
      <alignment horizontal="center" vertical="center" wrapText="1"/>
    </xf>
    <xf numFmtId="38" fontId="2" fillId="0" borderId="70" xfId="2" applyNumberFormat="1" applyFont="1" applyBorder="1" applyAlignment="1">
      <alignment horizontal="center" vertical="center" wrapText="1"/>
    </xf>
    <xf numFmtId="38" fontId="2" fillId="0" borderId="60" xfId="2" applyNumberFormat="1" applyFont="1" applyBorder="1" applyAlignment="1">
      <alignment horizontal="center" vertical="center" wrapText="1"/>
    </xf>
    <xf numFmtId="38" fontId="2" fillId="0" borderId="73" xfId="2" applyNumberFormat="1" applyFont="1" applyBorder="1" applyAlignment="1">
      <alignment horizontal="center" vertical="center" wrapText="1"/>
    </xf>
    <xf numFmtId="0" fontId="11" fillId="0" borderId="0" xfId="0" applyFont="1" applyAlignment="1" applyProtection="1">
      <alignment horizontal="left"/>
      <protection locked="0"/>
    </xf>
    <xf numFmtId="0" fontId="53" fillId="6" borderId="0" xfId="0" applyFont="1" applyFill="1" applyProtection="1">
      <protection locked="0"/>
    </xf>
    <xf numFmtId="0" fontId="54" fillId="6" borderId="0" xfId="0" applyFont="1" applyFill="1" applyAlignment="1">
      <alignment horizontal="center"/>
    </xf>
    <xf numFmtId="0" fontId="16" fillId="2" borderId="31" xfId="0" applyFont="1" applyFill="1" applyBorder="1" applyAlignment="1" applyProtection="1">
      <alignment horizontal="left"/>
      <protection locked="0"/>
    </xf>
    <xf numFmtId="0" fontId="7" fillId="5" borderId="33" xfId="0" applyFont="1" applyFill="1" applyBorder="1" applyAlignment="1">
      <alignment horizontal="center"/>
    </xf>
    <xf numFmtId="0" fontId="7" fillId="5" borderId="34" xfId="0" applyFont="1" applyFill="1" applyBorder="1" applyAlignment="1">
      <alignment horizontal="center"/>
    </xf>
    <xf numFmtId="0" fontId="7" fillId="5" borderId="35" xfId="0" applyFont="1" applyFill="1" applyBorder="1" applyAlignment="1">
      <alignment horizontal="center"/>
    </xf>
    <xf numFmtId="3" fontId="9" fillId="5" borderId="9" xfId="0" applyNumberFormat="1" applyFont="1" applyFill="1" applyBorder="1" applyAlignment="1" applyProtection="1">
      <alignment horizontal="center" vertical="center" wrapText="1"/>
      <protection locked="0"/>
    </xf>
    <xf numFmtId="3" fontId="9" fillId="5" borderId="19" xfId="0" applyNumberFormat="1" applyFont="1" applyFill="1" applyBorder="1" applyAlignment="1" applyProtection="1">
      <alignment horizontal="center" vertical="center" wrapText="1"/>
      <protection locked="0"/>
    </xf>
    <xf numFmtId="3" fontId="9" fillId="5" borderId="10" xfId="0" applyNumberFormat="1" applyFont="1" applyFill="1" applyBorder="1" applyAlignment="1" applyProtection="1">
      <alignment horizontal="center" vertical="center" wrapText="1"/>
      <protection locked="0"/>
    </xf>
    <xf numFmtId="3" fontId="9" fillId="5" borderId="18" xfId="0" applyNumberFormat="1" applyFont="1" applyFill="1" applyBorder="1" applyAlignment="1" applyProtection="1">
      <alignment horizontal="center" vertical="center" wrapText="1"/>
      <protection locked="0"/>
    </xf>
    <xf numFmtId="0" fontId="6" fillId="5" borderId="3"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6" fillId="5" borderId="2" xfId="0" applyFont="1" applyFill="1" applyBorder="1" applyAlignment="1">
      <alignment horizontal="center" vertical="center" wrapText="1"/>
    </xf>
    <xf numFmtId="167" fontId="53" fillId="6" borderId="0" xfId="0" applyNumberFormat="1" applyFont="1" applyFill="1" applyAlignment="1" applyProtection="1">
      <alignment horizontal="left" vertical="center" wrapText="1"/>
      <protection locked="0"/>
    </xf>
    <xf numFmtId="0" fontId="0" fillId="0" borderId="34" xfId="0"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7" fillId="5" borderId="6" xfId="0" applyFont="1" applyFill="1" applyBorder="1" applyAlignment="1" applyProtection="1">
      <alignment horizontal="center"/>
      <protection locked="0"/>
    </xf>
    <xf numFmtId="0" fontId="0" fillId="0" borderId="0" xfId="0" applyAlignment="1" applyProtection="1">
      <alignment vertical="center"/>
      <protection locked="0"/>
    </xf>
    <xf numFmtId="0" fontId="1" fillId="0" borderId="36" xfId="0" applyFont="1" applyBorder="1" applyAlignment="1" applyProtection="1">
      <alignment horizontal="right" vertical="center"/>
      <protection locked="0"/>
    </xf>
    <xf numFmtId="0" fontId="1" fillId="0" borderId="27" xfId="0" applyFont="1" applyBorder="1" applyAlignment="1" applyProtection="1">
      <alignment horizontal="right" vertical="center"/>
      <protection locked="0"/>
    </xf>
    <xf numFmtId="0" fontId="0" fillId="0" borderId="0" xfId="0" applyAlignment="1" applyProtection="1">
      <alignment horizontal="left"/>
      <protection locked="0"/>
    </xf>
    <xf numFmtId="0" fontId="53" fillId="6" borderId="0" xfId="0" applyFont="1" applyFill="1"/>
    <xf numFmtId="0" fontId="12" fillId="5" borderId="9"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0" fillId="2" borderId="16" xfId="0" applyFill="1" applyBorder="1" applyAlignment="1" applyProtection="1">
      <alignment horizontal="center"/>
      <protection locked="0"/>
    </xf>
    <xf numFmtId="38" fontId="53" fillId="6" borderId="0" xfId="0" applyNumberFormat="1" applyFont="1" applyFill="1" applyAlignment="1" applyProtection="1">
      <alignment horizontal="center"/>
      <protection locked="0"/>
    </xf>
    <xf numFmtId="38" fontId="1" fillId="0" borderId="3" xfId="0" applyNumberFormat="1" applyFont="1" applyBorder="1" applyAlignment="1" applyProtection="1">
      <alignment horizontal="right"/>
      <protection locked="0"/>
    </xf>
    <xf numFmtId="38" fontId="1" fillId="0" borderId="2" xfId="0" applyNumberFormat="1" applyFont="1" applyBorder="1" applyAlignment="1" applyProtection="1">
      <alignment horizontal="right"/>
      <protection locked="0"/>
    </xf>
    <xf numFmtId="38" fontId="54" fillId="6" borderId="0" xfId="0" applyNumberFormat="1" applyFont="1" applyFill="1" applyAlignment="1">
      <alignment horizontal="center"/>
    </xf>
    <xf numFmtId="38" fontId="7" fillId="0" borderId="0" xfId="0" applyNumberFormat="1" applyFont="1" applyAlignment="1" applyProtection="1">
      <alignment horizontal="center" vertical="center"/>
      <protection locked="0"/>
    </xf>
    <xf numFmtId="49" fontId="53" fillId="6" borderId="0" xfId="0" applyNumberFormat="1" applyFont="1" applyFill="1" applyAlignment="1" applyProtection="1">
      <alignment horizontal="left" vertical="center" wrapText="1"/>
      <protection locked="0"/>
    </xf>
    <xf numFmtId="38" fontId="26" fillId="8" borderId="0" xfId="0" applyNumberFormat="1" applyFont="1" applyFill="1" applyAlignment="1" applyProtection="1">
      <alignment horizontal="right" vertical="center"/>
      <protection locked="0"/>
    </xf>
    <xf numFmtId="168" fontId="25" fillId="8" borderId="4" xfId="2" applyNumberFormat="1" applyFont="1" applyFill="1" applyBorder="1" applyAlignment="1" applyProtection="1">
      <alignment horizontal="left" vertical="center"/>
      <protection locked="0"/>
    </xf>
    <xf numFmtId="168" fontId="26" fillId="0" borderId="0" xfId="2" applyNumberFormat="1" applyFont="1" applyFill="1" applyBorder="1" applyAlignment="1" applyProtection="1">
      <alignment horizontal="left" vertical="center"/>
      <protection locked="0"/>
    </xf>
    <xf numFmtId="168" fontId="0" fillId="0" borderId="0" xfId="2" applyNumberFormat="1" applyFont="1" applyFill="1" applyAlignment="1" applyProtection="1">
      <alignment horizontal="right"/>
      <protection locked="0"/>
    </xf>
  </cellXfs>
  <cellStyles count="3">
    <cellStyle name="Moneda" xfId="2" builtinId="4"/>
    <cellStyle name="Normal" xfId="0" builtinId="0"/>
    <cellStyle name="Normal 3" xfId="1" xr:uid="{00000000-0005-0000-0000-000002000000}"/>
  </cellStyles>
  <dxfs count="22">
    <dxf>
      <font>
        <b/>
        <i/>
        <strike val="0"/>
        <condense val="0"/>
        <extend val="0"/>
        <outline val="0"/>
        <shadow val="0"/>
        <u val="none"/>
        <vertAlign val="baseline"/>
        <sz val="9"/>
        <color theme="1"/>
        <name val="Arial"/>
        <scheme val="none"/>
      </font>
      <numFmt numFmtId="168" formatCode="_(&quot;$&quot;\ * #,##0_);_(&quot;$&quot;\ * \(#,##0\);_(&quot;$&quot;\ *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border>
      <protection locked="0" hidden="0"/>
    </dxf>
    <dxf>
      <font>
        <b/>
        <i/>
        <strike val="0"/>
        <condense val="0"/>
        <extend val="0"/>
        <outline val="0"/>
        <shadow val="0"/>
        <u val="none"/>
        <vertAlign val="baseline"/>
        <sz val="9"/>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border>
      <protection locked="0" hidden="0"/>
    </dxf>
    <dxf>
      <font>
        <b/>
        <i/>
        <strike val="0"/>
        <outline val="0"/>
        <shadow val="0"/>
        <u val="none"/>
        <vertAlign val="baseline"/>
        <sz val="9"/>
        <color theme="1"/>
        <name val="Arial"/>
        <scheme val="none"/>
      </font>
      <fill>
        <patternFill patternType="none">
          <fgColor indexed="64"/>
          <bgColor indexed="65"/>
        </patternFill>
      </fill>
      <alignment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border>
      <protection locked="0" hidden="0"/>
    </dxf>
    <dxf>
      <border outline="0">
        <top style="thin">
          <color indexed="64"/>
        </top>
      </border>
    </dxf>
    <dxf>
      <border diagonalUp="0" diagonalDown="0">
        <left style="medium">
          <color indexed="64"/>
        </left>
        <right style="medium">
          <color indexed="64"/>
        </right>
        <top style="medium">
          <color indexed="64"/>
        </top>
        <bottom style="medium">
          <color indexed="64"/>
        </bottom>
      </border>
    </dxf>
    <dxf>
      <font>
        <b/>
        <i/>
        <strike val="0"/>
        <condense val="0"/>
        <extend val="0"/>
        <outline val="0"/>
        <shadow val="0"/>
        <u val="none"/>
        <vertAlign val="baseline"/>
        <sz val="9"/>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border>
        <bottom style="medium">
          <color indexed="64"/>
        </bottom>
      </border>
    </dxf>
    <dxf>
      <font>
        <b/>
        <i/>
        <strike val="0"/>
        <condense val="0"/>
        <extend val="0"/>
        <outline val="0"/>
        <shadow val="0"/>
        <u val="none"/>
        <vertAlign val="baseline"/>
        <sz val="9"/>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protection locked="1" hidden="0"/>
    </dxf>
    <dxf>
      <font>
        <b/>
        <i/>
        <strike val="0"/>
        <condense val="0"/>
        <extend val="0"/>
        <outline val="0"/>
        <shadow val="0"/>
        <u val="none"/>
        <vertAlign val="baseline"/>
        <sz val="8"/>
        <color auto="1"/>
        <name val="Arial"/>
        <scheme val="none"/>
      </font>
      <numFmt numFmtId="168" formatCode="_(&quot;$&quot;\ * #,##0_);_(&quot;$&quot;\ * \(#,##0\);_(&quot;$&quot;\ *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border>
      <protection locked="0" hidden="0"/>
    </dxf>
    <dxf>
      <font>
        <b/>
        <i/>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border>
      <protection locked="0" hidden="0"/>
    </dxf>
    <dxf>
      <border outline="0">
        <left style="medium">
          <color indexed="64"/>
        </left>
        <right style="medium">
          <color indexed="64"/>
        </right>
        <top style="medium">
          <color indexed="64"/>
        </top>
        <bottom style="medium">
          <color indexed="64"/>
        </bottom>
      </border>
    </dxf>
    <dxf>
      <font>
        <strike val="0"/>
        <outline val="0"/>
        <shadow val="0"/>
        <u val="none"/>
        <vertAlign val="baseline"/>
        <sz val="8"/>
        <color auto="1"/>
        <name val="Arial"/>
        <scheme val="none"/>
      </font>
      <fill>
        <patternFill patternType="none">
          <fgColor indexed="64"/>
          <bgColor auto="1"/>
        </patternFill>
      </fill>
      <alignment vertical="center" textRotation="0" wrapText="0" indent="0" justifyLastLine="0" shrinkToFit="0" readingOrder="0"/>
      <protection locked="0" hidden="0"/>
    </dxf>
    <dxf>
      <border outline="0">
        <bottom style="thin">
          <color indexed="64"/>
        </bottom>
      </border>
    </dxf>
    <dxf>
      <font>
        <b/>
        <i/>
        <strike val="0"/>
        <condense val="0"/>
        <extend val="0"/>
        <outline val="0"/>
        <shadow val="0"/>
        <u val="none"/>
        <vertAlign val="baseline"/>
        <sz val="9"/>
        <color theme="1"/>
        <name val="Arial"/>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i val="0"/>
        <strike val="0"/>
        <condense val="0"/>
        <extend val="0"/>
        <outline val="0"/>
        <shadow val="0"/>
        <u val="none"/>
        <vertAlign val="baseline"/>
        <sz val="9"/>
        <color theme="1"/>
        <name val="Arial"/>
        <scheme val="none"/>
      </font>
      <numFmt numFmtId="169" formatCode="0_);[Red]\(0\)"/>
      <fill>
        <patternFill patternType="none">
          <fgColor indexed="64"/>
          <bgColor auto="1"/>
        </patternFill>
      </fill>
      <alignment horizontal="center" vertical="center" textRotation="0" wrapText="0" indent="0" justifyLastLine="0" shrinkToFit="0" readingOrder="0"/>
      <border diagonalUp="0" diagonalDown="0">
        <left/>
        <right/>
        <top style="thin">
          <color indexed="64"/>
        </top>
        <bottom style="thin">
          <color indexed="64"/>
        </bottom>
      </border>
      <protection locked="0" hidden="0"/>
    </dxf>
    <dxf>
      <font>
        <b/>
        <i/>
        <strike val="0"/>
        <condense val="0"/>
        <extend val="0"/>
        <outline val="0"/>
        <shadow val="0"/>
        <u val="none"/>
        <vertAlign val="baseline"/>
        <sz val="9"/>
        <color theme="1"/>
        <name val="Arial"/>
        <scheme val="none"/>
      </font>
      <numFmt numFmtId="168" formatCode="_(&quot;$&quot;\ * #,##0_);_(&quot;$&quot;\ * \(#,##0\);_(&quot;$&quot;\ *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strike val="0"/>
        <condense val="0"/>
        <extend val="0"/>
        <outline val="0"/>
        <shadow val="0"/>
        <u val="none"/>
        <vertAlign val="baseline"/>
        <sz val="9"/>
        <color theme="1"/>
        <name val="Arial"/>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medium">
          <color indexed="64"/>
        </right>
        <top/>
        <bottom style="thin">
          <color indexed="64"/>
        </bottom>
        <vertical style="thin">
          <color indexed="64"/>
        </vertical>
      </border>
      <protection locked="0" hidden="0"/>
    </dxf>
    <dxf>
      <font>
        <b/>
        <i/>
        <strike val="0"/>
        <condense val="0"/>
        <extend val="0"/>
        <outline val="0"/>
        <shadow val="0"/>
        <u val="none"/>
        <vertAlign val="baseline"/>
        <sz val="9"/>
        <color theme="1"/>
        <name val="Arial"/>
        <scheme val="none"/>
      </font>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border>
      <protection locked="0" hidden="0"/>
    </dxf>
    <dxf>
      <font>
        <b/>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diagonalUp="0" diagonalDown="0">
        <left style="medium">
          <color indexed="64"/>
        </left>
        <right style="medium">
          <color indexed="64"/>
        </right>
        <top style="medium">
          <color indexed="64"/>
        </top>
        <bottom style="medium">
          <color indexed="64"/>
        </bottom>
      </border>
    </dxf>
    <dxf>
      <protection locked="0" hidden="0"/>
    </dxf>
    <dxf>
      <protection locked="1" hidden="0"/>
    </dxf>
  </dxfs>
  <tableStyles count="0" defaultTableStyle="TableStyleMedium2" defaultPivotStyle="PivotStyleLight16"/>
  <colors>
    <mruColors>
      <color rgb="FF3DE7F9"/>
      <color rgb="FFAAF6CC"/>
      <color rgb="FFF8D6F1"/>
      <color rgb="FF0011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1006-Ingresos'!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007 - Egresos'!A1"/><Relationship Id="rId1" Type="http://schemas.openxmlformats.org/officeDocument/2006/relationships/hyperlink" Target="#'1006-Ingresos'!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INGRESO DE DATOS'!A1"/></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INGRESO DE DATOS'!A1"/></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714375</xdr:colOff>
      <xdr:row>2</xdr:row>
      <xdr:rowOff>19050</xdr:rowOff>
    </xdr:from>
    <xdr:to>
      <xdr:col>12</xdr:col>
      <xdr:colOff>66675</xdr:colOff>
      <xdr:row>4</xdr:row>
      <xdr:rowOff>180975</xdr:rowOff>
    </xdr:to>
    <xdr:sp macro="" textlink="">
      <xdr:nvSpPr>
        <xdr:cNvPr id="2" name="1 Rectángulo redondeado">
          <a:extLst>
            <a:ext uri="{FF2B5EF4-FFF2-40B4-BE49-F238E27FC236}">
              <a16:creationId xmlns:a16="http://schemas.microsoft.com/office/drawing/2014/main" id="{00000000-0008-0000-0000-000002000000}"/>
            </a:ext>
          </a:extLst>
        </xdr:cNvPr>
        <xdr:cNvSpPr/>
      </xdr:nvSpPr>
      <xdr:spPr>
        <a:xfrm>
          <a:off x="3533775" y="400050"/>
          <a:ext cx="5448300" cy="542925"/>
        </a:xfrm>
        <a:prstGeom prst="roundRect">
          <a:avLst/>
        </a:prstGeom>
        <a:solidFill>
          <a:schemeClr val="accent4">
            <a:lumMod val="20000"/>
            <a:lumOff val="80000"/>
          </a:schemeClr>
        </a:solidFill>
        <a:ln>
          <a:solidFill>
            <a:schemeClr val="accent4"/>
          </a:solidFill>
        </a:ln>
        <a:effectLst>
          <a:glow rad="1016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2400">
              <a:solidFill>
                <a:schemeClr val="accent4"/>
              </a:solidFill>
              <a:effectLst>
                <a:glow rad="101600">
                  <a:schemeClr val="accent4">
                    <a:satMod val="175000"/>
                    <a:alpha val="40000"/>
                  </a:schemeClr>
                </a:glow>
              </a:effectLst>
              <a:latin typeface="Arial" pitchFamily="34" charset="0"/>
              <a:cs typeface="Arial" pitchFamily="34" charset="0"/>
            </a:rPr>
            <a:t>MANUAL DE INSTRUCCIONES</a:t>
          </a:r>
          <a:endParaRPr lang="es-CO" sz="1100">
            <a:solidFill>
              <a:schemeClr val="accent4"/>
            </a:solidFill>
            <a:effectLst>
              <a:glow rad="101600">
                <a:schemeClr val="accent4">
                  <a:satMod val="175000"/>
                  <a:alpha val="40000"/>
                </a:schemeClr>
              </a:glow>
            </a:effectLst>
            <a:latin typeface="Arial" pitchFamily="34" charset="0"/>
            <a:cs typeface="Arial" pitchFamily="34" charset="0"/>
          </a:endParaRPr>
        </a:p>
      </xdr:txBody>
    </xdr:sp>
    <xdr:clientData/>
  </xdr:twoCellAnchor>
  <xdr:twoCellAnchor>
    <xdr:from>
      <xdr:col>7</xdr:col>
      <xdr:colOff>196126</xdr:colOff>
      <xdr:row>17</xdr:row>
      <xdr:rowOff>104775</xdr:rowOff>
    </xdr:from>
    <xdr:to>
      <xdr:col>10</xdr:col>
      <xdr:colOff>57150</xdr:colOff>
      <xdr:row>19</xdr:row>
      <xdr:rowOff>95249</xdr:rowOff>
    </xdr:to>
    <xdr:sp macro="" textlink="">
      <xdr:nvSpPr>
        <xdr:cNvPr id="3" name="2 Rectángulo redondeado">
          <a:extLst>
            <a:ext uri="{FF2B5EF4-FFF2-40B4-BE49-F238E27FC236}">
              <a16:creationId xmlns:a16="http://schemas.microsoft.com/office/drawing/2014/main" id="{00000000-0008-0000-0000-000003000000}"/>
            </a:ext>
          </a:extLst>
        </xdr:cNvPr>
        <xdr:cNvSpPr/>
      </xdr:nvSpPr>
      <xdr:spPr>
        <a:xfrm>
          <a:off x="5349151" y="3343275"/>
          <a:ext cx="2147024" cy="371474"/>
        </a:xfrm>
        <a:prstGeom prst="roundRect">
          <a:avLst/>
        </a:prstGeom>
        <a:solidFill>
          <a:schemeClr val="accent1">
            <a:lumMod val="20000"/>
            <a:lumOff val="80000"/>
          </a:schemeClr>
        </a:solidFill>
        <a:ln>
          <a:solidFill>
            <a:schemeClr val="accent1"/>
          </a:solidFill>
        </a:ln>
        <a:effectLst>
          <a:glow rad="101600">
            <a:schemeClr val="accent1">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1400">
              <a:solidFill>
                <a:schemeClr val="accent1"/>
              </a:solidFill>
              <a:effectLst>
                <a:glow rad="63500">
                  <a:schemeClr val="accent1">
                    <a:satMod val="175000"/>
                    <a:alpha val="40000"/>
                  </a:schemeClr>
                </a:glow>
              </a:effectLst>
              <a:latin typeface="Arial" pitchFamily="34" charset="0"/>
              <a:cs typeface="Arial" pitchFamily="34" charset="0"/>
            </a:rPr>
            <a:t>INGRESO</a:t>
          </a:r>
          <a:r>
            <a:rPr lang="es-CO" sz="1400" baseline="0">
              <a:solidFill>
                <a:schemeClr val="accent1"/>
              </a:solidFill>
              <a:effectLst>
                <a:glow rad="63500">
                  <a:schemeClr val="accent1">
                    <a:satMod val="175000"/>
                    <a:alpha val="40000"/>
                  </a:schemeClr>
                </a:glow>
              </a:effectLst>
              <a:latin typeface="Arial" pitchFamily="34" charset="0"/>
              <a:cs typeface="Arial" pitchFamily="34" charset="0"/>
            </a:rPr>
            <a:t> DE DATOS</a:t>
          </a:r>
          <a:endParaRPr lang="es-CO" sz="1400">
            <a:solidFill>
              <a:schemeClr val="accent1"/>
            </a:solidFill>
            <a:effectLst>
              <a:glow rad="63500">
                <a:schemeClr val="accent1">
                  <a:satMod val="175000"/>
                  <a:alpha val="40000"/>
                </a:schemeClr>
              </a:glow>
            </a:effectLst>
            <a:latin typeface="Arial" pitchFamily="34" charset="0"/>
            <a:cs typeface="Arial" pitchFamily="34" charset="0"/>
          </a:endParaRPr>
        </a:p>
      </xdr:txBody>
    </xdr:sp>
    <xdr:clientData/>
  </xdr:twoCellAnchor>
  <xdr:twoCellAnchor>
    <xdr:from>
      <xdr:col>0</xdr:col>
      <xdr:colOff>672915</xdr:colOff>
      <xdr:row>28</xdr:row>
      <xdr:rowOff>98049</xdr:rowOff>
    </xdr:from>
    <xdr:to>
      <xdr:col>2</xdr:col>
      <xdr:colOff>293596</xdr:colOff>
      <xdr:row>30</xdr:row>
      <xdr:rowOff>21848</xdr:rowOff>
    </xdr:to>
    <xdr:sp macro="" textlink="">
      <xdr:nvSpPr>
        <xdr:cNvPr id="4" name="3 Rectángulo redondeado">
          <a:extLst>
            <a:ext uri="{FF2B5EF4-FFF2-40B4-BE49-F238E27FC236}">
              <a16:creationId xmlns:a16="http://schemas.microsoft.com/office/drawing/2014/main" id="{00000000-0008-0000-0000-000004000000}"/>
            </a:ext>
          </a:extLst>
        </xdr:cNvPr>
        <xdr:cNvSpPr/>
      </xdr:nvSpPr>
      <xdr:spPr>
        <a:xfrm>
          <a:off x="672915" y="5118284"/>
          <a:ext cx="1198469" cy="282388"/>
        </a:xfrm>
        <a:prstGeom prst="roundRect">
          <a:avLst/>
        </a:prstGeom>
        <a:solidFill>
          <a:schemeClr val="accent3">
            <a:lumMod val="60000"/>
            <a:lumOff val="40000"/>
          </a:schemeClr>
        </a:solidFill>
        <a:ln>
          <a:solidFill>
            <a:schemeClr val="accent3">
              <a:lumMod val="60000"/>
              <a:lumOff val="40000"/>
            </a:schemeClr>
          </a:solidFill>
        </a:ln>
        <a:effectLst>
          <a:glow rad="101600">
            <a:schemeClr val="accent3">
              <a:lumMod val="60000"/>
              <a:lumOff val="40000"/>
              <a:alpha val="60000"/>
            </a:schemeClr>
          </a:glow>
          <a:outerShdw blurRad="50800" dist="50800" dir="5400000" algn="ctr" rotWithShape="0">
            <a:schemeClr val="accent3">
              <a:lumMod val="60000"/>
              <a:lumOff val="40000"/>
            </a:scheme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600" b="1">
              <a:solidFill>
                <a:schemeClr val="bg1"/>
              </a:solidFill>
              <a:effectLst>
                <a:glow rad="63500">
                  <a:schemeClr val="accent5">
                    <a:alpha val="40000"/>
                  </a:schemeClr>
                </a:glow>
              </a:effectLst>
              <a:latin typeface="Arial" pitchFamily="34" charset="0"/>
              <a:cs typeface="Arial" pitchFamily="34" charset="0"/>
            </a:rPr>
            <a:t>NOMBRE</a:t>
          </a:r>
        </a:p>
      </xdr:txBody>
    </xdr:sp>
    <xdr:clientData/>
  </xdr:twoCellAnchor>
  <xdr:twoCellAnchor>
    <xdr:from>
      <xdr:col>1</xdr:col>
      <xdr:colOff>0</xdr:colOff>
      <xdr:row>54</xdr:row>
      <xdr:rowOff>161925</xdr:rowOff>
    </xdr:from>
    <xdr:to>
      <xdr:col>3</xdr:col>
      <xdr:colOff>733425</xdr:colOff>
      <xdr:row>56</xdr:row>
      <xdr:rowOff>47625</xdr:rowOff>
    </xdr:to>
    <xdr:sp macro="" textlink="">
      <xdr:nvSpPr>
        <xdr:cNvPr id="7" name="6 Rectángulo redondeado">
          <a:extLst>
            <a:ext uri="{FF2B5EF4-FFF2-40B4-BE49-F238E27FC236}">
              <a16:creationId xmlns:a16="http://schemas.microsoft.com/office/drawing/2014/main" id="{00000000-0008-0000-0000-000007000000}"/>
            </a:ext>
          </a:extLst>
        </xdr:cNvPr>
        <xdr:cNvSpPr/>
      </xdr:nvSpPr>
      <xdr:spPr>
        <a:xfrm>
          <a:off x="762000" y="8362950"/>
          <a:ext cx="2000250" cy="266700"/>
        </a:xfrm>
        <a:prstGeom prst="roundRect">
          <a:avLst/>
        </a:prstGeom>
        <a:solidFill>
          <a:schemeClr val="accent5">
            <a:lumMod val="75000"/>
          </a:schemeClr>
        </a:solidFill>
        <a:ln>
          <a:solidFill>
            <a:schemeClr val="accent5">
              <a:lumMod val="75000"/>
              <a:alpha val="93000"/>
            </a:schemeClr>
          </a:solidFill>
        </a:ln>
        <a:effectLst>
          <a:glow rad="101600">
            <a:schemeClr val="accent5">
              <a:lumMod val="60000"/>
              <a:lumOff val="40000"/>
              <a:alpha val="60000"/>
            </a:schemeClr>
          </a:glow>
          <a:outerShdw blurRad="40000" dist="20000" dir="5400000" rotWithShape="0">
            <a:srgbClr val="000000">
              <a:alpha val="38000"/>
            </a:srgb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CO" sz="1200">
              <a:solidFill>
                <a:schemeClr val="bg1"/>
              </a:solidFill>
              <a:effectLst>
                <a:glow rad="63500">
                  <a:schemeClr val="accent6">
                    <a:alpha val="40000"/>
                  </a:schemeClr>
                </a:glow>
              </a:effectLst>
              <a:latin typeface="Arial" pitchFamily="34" charset="0"/>
              <a:cs typeface="Arial" pitchFamily="34" charset="0"/>
            </a:rPr>
            <a:t>OTRAS</a:t>
          </a:r>
          <a:r>
            <a:rPr lang="es-CO" sz="1200" baseline="0">
              <a:solidFill>
                <a:schemeClr val="bg1"/>
              </a:solidFill>
              <a:effectLst>
                <a:glow rad="63500">
                  <a:schemeClr val="accent6">
                    <a:alpha val="40000"/>
                  </a:schemeClr>
                </a:glow>
              </a:effectLst>
              <a:latin typeface="Arial" pitchFamily="34" charset="0"/>
              <a:cs typeface="Arial" pitchFamily="34" charset="0"/>
            </a:rPr>
            <a:t> ENTRADAS</a:t>
          </a:r>
        </a:p>
      </xdr:txBody>
    </xdr:sp>
    <xdr:clientData/>
  </xdr:twoCellAnchor>
  <xdr:twoCellAnchor>
    <xdr:from>
      <xdr:col>8</xdr:col>
      <xdr:colOff>681319</xdr:colOff>
      <xdr:row>79</xdr:row>
      <xdr:rowOff>161368</xdr:rowOff>
    </xdr:from>
    <xdr:to>
      <xdr:col>12</xdr:col>
      <xdr:colOff>376518</xdr:colOff>
      <xdr:row>82</xdr:row>
      <xdr:rowOff>26896</xdr:rowOff>
    </xdr:to>
    <xdr:sp macro="" textlink="">
      <xdr:nvSpPr>
        <xdr:cNvPr id="10" name="9 Rectángulo redondeado">
          <a:extLst>
            <a:ext uri="{FF2B5EF4-FFF2-40B4-BE49-F238E27FC236}">
              <a16:creationId xmlns:a16="http://schemas.microsoft.com/office/drawing/2014/main" id="{00000000-0008-0000-0000-00000A000000}"/>
            </a:ext>
          </a:extLst>
        </xdr:cNvPr>
        <xdr:cNvSpPr/>
      </xdr:nvSpPr>
      <xdr:spPr>
        <a:xfrm>
          <a:off x="6795248" y="14549721"/>
          <a:ext cx="2850776" cy="403410"/>
        </a:xfrm>
        <a:prstGeom prst="roundRect">
          <a:avLst/>
        </a:prstGeom>
        <a:solidFill>
          <a:schemeClr val="accent4">
            <a:lumMod val="20000"/>
            <a:lumOff val="80000"/>
          </a:schemeClr>
        </a:solidFill>
        <a:ln>
          <a:solidFill>
            <a:schemeClr val="accent4"/>
          </a:solidFill>
        </a:ln>
        <a:effectLst>
          <a:glow rad="1397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200">
              <a:solidFill>
                <a:schemeClr val="accent4"/>
              </a:solidFill>
              <a:effectLst>
                <a:glow rad="63500">
                  <a:schemeClr val="accent4">
                    <a:satMod val="175000"/>
                    <a:alpha val="40000"/>
                  </a:schemeClr>
                </a:glow>
              </a:effectLst>
              <a:latin typeface="Arial" pitchFamily="34" charset="0"/>
              <a:cs typeface="Arial" pitchFamily="34" charset="0"/>
            </a:rPr>
            <a:t>CUENTAS</a:t>
          </a:r>
          <a:r>
            <a:rPr lang="es-CO" sz="1200" baseline="0">
              <a:solidFill>
                <a:schemeClr val="accent4"/>
              </a:solidFill>
              <a:effectLst>
                <a:glow rad="63500">
                  <a:schemeClr val="accent4">
                    <a:satMod val="175000"/>
                    <a:alpha val="40000"/>
                  </a:schemeClr>
                </a:glow>
              </a:effectLst>
              <a:latin typeface="Arial" pitchFamily="34" charset="0"/>
              <a:cs typeface="Arial" pitchFamily="34" charset="0"/>
            </a:rPr>
            <a:t> VARIAS</a:t>
          </a:r>
          <a:endParaRPr lang="es-CO" sz="1200">
            <a:solidFill>
              <a:schemeClr val="accent4"/>
            </a:solidFill>
            <a:effectLst>
              <a:glow rad="63500">
                <a:schemeClr val="accent4">
                  <a:satMod val="175000"/>
                  <a:alpha val="40000"/>
                </a:schemeClr>
              </a:glow>
            </a:effectLst>
            <a:latin typeface="Arial" pitchFamily="34" charset="0"/>
            <a:cs typeface="Arial" pitchFamily="34" charset="0"/>
          </a:endParaRPr>
        </a:p>
      </xdr:txBody>
    </xdr:sp>
    <xdr:clientData/>
  </xdr:twoCellAnchor>
  <xdr:twoCellAnchor>
    <xdr:from>
      <xdr:col>8</xdr:col>
      <xdr:colOff>28575</xdr:colOff>
      <xdr:row>105</xdr:row>
      <xdr:rowOff>0</xdr:rowOff>
    </xdr:from>
    <xdr:to>
      <xdr:col>9</xdr:col>
      <xdr:colOff>752475</xdr:colOff>
      <xdr:row>106</xdr:row>
      <xdr:rowOff>161925</xdr:rowOff>
    </xdr:to>
    <xdr:sp macro="" textlink="">
      <xdr:nvSpPr>
        <xdr:cNvPr id="11" name="10 Rectángulo redondeado">
          <a:extLst>
            <a:ext uri="{FF2B5EF4-FFF2-40B4-BE49-F238E27FC236}">
              <a16:creationId xmlns:a16="http://schemas.microsoft.com/office/drawing/2014/main" id="{00000000-0008-0000-0000-00000B000000}"/>
            </a:ext>
          </a:extLst>
        </xdr:cNvPr>
        <xdr:cNvSpPr/>
      </xdr:nvSpPr>
      <xdr:spPr>
        <a:xfrm>
          <a:off x="5895975" y="15668625"/>
          <a:ext cx="1485900" cy="352425"/>
        </a:xfrm>
        <a:prstGeom prst="roundRect">
          <a:avLst/>
        </a:prstGeom>
        <a:solidFill>
          <a:schemeClr val="accent2">
            <a:lumMod val="20000"/>
            <a:lumOff val="80000"/>
          </a:schemeClr>
        </a:solidFill>
        <a:ln>
          <a:solidFill>
            <a:schemeClr val="accent2"/>
          </a:solidFill>
        </a:ln>
        <a:effectLst>
          <a:glow rad="101600">
            <a:schemeClr val="accent2">
              <a:alpha val="40000"/>
            </a:schemeClr>
          </a:glow>
          <a:outerShdw blurRad="40000" dist="20000" dir="5400000" rotWithShape="0">
            <a:srgbClr val="000000">
              <a:alpha val="38000"/>
            </a:srgb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O" sz="1400">
              <a:solidFill>
                <a:schemeClr val="accent2"/>
              </a:solidFill>
              <a:effectLst>
                <a:glow rad="63500">
                  <a:schemeClr val="accent2">
                    <a:satMod val="175000"/>
                    <a:alpha val="40000"/>
                  </a:schemeClr>
                </a:glow>
              </a:effectLst>
              <a:latin typeface="Arial" pitchFamily="34" charset="0"/>
              <a:cs typeface="Arial" pitchFamily="34" charset="0"/>
            </a:rPr>
            <a:t>SALIDAS</a:t>
          </a:r>
        </a:p>
      </xdr:txBody>
    </xdr:sp>
    <xdr:clientData/>
  </xdr:twoCellAnchor>
  <xdr:twoCellAnchor>
    <xdr:from>
      <xdr:col>0</xdr:col>
      <xdr:colOff>257175</xdr:colOff>
      <xdr:row>118</xdr:row>
      <xdr:rowOff>142875</xdr:rowOff>
    </xdr:from>
    <xdr:to>
      <xdr:col>3</xdr:col>
      <xdr:colOff>733426</xdr:colOff>
      <xdr:row>120</xdr:row>
      <xdr:rowOff>47625</xdr:rowOff>
    </xdr:to>
    <xdr:sp macro="" textlink="">
      <xdr:nvSpPr>
        <xdr:cNvPr id="12" name="11 Rectángulo redondeado">
          <a:extLst>
            <a:ext uri="{FF2B5EF4-FFF2-40B4-BE49-F238E27FC236}">
              <a16:creationId xmlns:a16="http://schemas.microsoft.com/office/drawing/2014/main" id="{00000000-0008-0000-0000-00000C000000}"/>
            </a:ext>
          </a:extLst>
        </xdr:cNvPr>
        <xdr:cNvSpPr/>
      </xdr:nvSpPr>
      <xdr:spPr>
        <a:xfrm>
          <a:off x="257175" y="18478500"/>
          <a:ext cx="2505076" cy="285750"/>
        </a:xfrm>
        <a:prstGeom prst="roundRect">
          <a:avLst/>
        </a:prstGeom>
        <a:solidFill>
          <a:schemeClr val="accent2">
            <a:lumMod val="20000"/>
            <a:lumOff val="80000"/>
          </a:schemeClr>
        </a:solidFill>
        <a:ln>
          <a:solidFill>
            <a:schemeClr val="accent2"/>
          </a:solidFill>
        </a:ln>
        <a:effectLst>
          <a:glow rad="101600">
            <a:schemeClr val="accent2">
              <a:alpha val="60000"/>
            </a:schemeClr>
          </a:glow>
          <a:outerShdw blurRad="40000" dist="20000" dir="5400000" rotWithShape="0">
            <a:srgbClr val="000000">
              <a:alpha val="38000"/>
            </a:srgbClr>
          </a:outerShd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O" sz="1200">
              <a:solidFill>
                <a:schemeClr val="accent2"/>
              </a:solidFill>
              <a:effectLst>
                <a:glow rad="63500">
                  <a:schemeClr val="accent2">
                    <a:alpha val="40000"/>
                  </a:schemeClr>
                </a:glow>
              </a:effectLst>
              <a:latin typeface="Arial" pitchFamily="34" charset="0"/>
              <a:cs typeface="Arial" pitchFamily="34" charset="0"/>
            </a:rPr>
            <a:t>SALIDAS</a:t>
          </a:r>
          <a:r>
            <a:rPr lang="es-CO" sz="1200" baseline="0">
              <a:solidFill>
                <a:schemeClr val="accent2"/>
              </a:solidFill>
              <a:effectLst>
                <a:glow rad="63500">
                  <a:schemeClr val="accent2">
                    <a:alpha val="40000"/>
                  </a:schemeClr>
                </a:glow>
              </a:effectLst>
              <a:latin typeface="Arial" pitchFamily="34" charset="0"/>
              <a:cs typeface="Arial" pitchFamily="34" charset="0"/>
            </a:rPr>
            <a:t> DE ADMINISTRACION</a:t>
          </a:r>
        </a:p>
      </xdr:txBody>
    </xdr:sp>
    <xdr:clientData/>
  </xdr:twoCellAnchor>
  <xdr:twoCellAnchor>
    <xdr:from>
      <xdr:col>1</xdr:col>
      <xdr:colOff>0</xdr:colOff>
      <xdr:row>13</xdr:row>
      <xdr:rowOff>152400</xdr:rowOff>
    </xdr:from>
    <xdr:to>
      <xdr:col>2</xdr:col>
      <xdr:colOff>409575</xdr:colOff>
      <xdr:row>15</xdr:row>
      <xdr:rowOff>57150</xdr:rowOff>
    </xdr:to>
    <xdr:sp macro="" textlink="">
      <xdr:nvSpPr>
        <xdr:cNvPr id="13" name="12 Rectángulo redondeado">
          <a:extLst>
            <a:ext uri="{FF2B5EF4-FFF2-40B4-BE49-F238E27FC236}">
              <a16:creationId xmlns:a16="http://schemas.microsoft.com/office/drawing/2014/main" id="{00000000-0008-0000-0000-00000D000000}"/>
            </a:ext>
          </a:extLst>
        </xdr:cNvPr>
        <xdr:cNvSpPr/>
      </xdr:nvSpPr>
      <xdr:spPr>
        <a:xfrm>
          <a:off x="762000" y="2628900"/>
          <a:ext cx="1171575" cy="285750"/>
        </a:xfrm>
        <a:prstGeom prst="roundRect">
          <a:avLst/>
        </a:prstGeom>
        <a:solidFill>
          <a:schemeClr val="tx1"/>
        </a:solidFill>
        <a:ln>
          <a:solidFill>
            <a:sysClr val="windowText" lastClr="000000"/>
          </a:solidFill>
        </a:ln>
        <a:effectLst>
          <a:glow rad="101600">
            <a:schemeClr val="tx1">
              <a:alpha val="40000"/>
            </a:schemeClr>
          </a:glo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s-CO" sz="1200">
              <a:solidFill>
                <a:srgbClr val="FFFF00"/>
              </a:solidFill>
              <a:effectLst>
                <a:glow rad="101600">
                  <a:schemeClr val="accent3">
                    <a:satMod val="175000"/>
                    <a:alpha val="40000"/>
                  </a:schemeClr>
                </a:glow>
              </a:effectLst>
              <a:latin typeface="Arial" pitchFamily="34" charset="0"/>
              <a:cs typeface="Arial" pitchFamily="34" charset="0"/>
            </a:rPr>
            <a:t>AVISO</a:t>
          </a:r>
        </a:p>
      </xdr:txBody>
    </xdr:sp>
    <xdr:clientData/>
  </xdr:twoCellAnchor>
  <xdr:twoCellAnchor>
    <xdr:from>
      <xdr:col>0</xdr:col>
      <xdr:colOff>266700</xdr:colOff>
      <xdr:row>127</xdr:row>
      <xdr:rowOff>152400</xdr:rowOff>
    </xdr:from>
    <xdr:to>
      <xdr:col>3</xdr:col>
      <xdr:colOff>742951</xdr:colOff>
      <xdr:row>129</xdr:row>
      <xdr:rowOff>57150</xdr:rowOff>
    </xdr:to>
    <xdr:sp macro="" textlink="">
      <xdr:nvSpPr>
        <xdr:cNvPr id="14" name="13 Rectángulo redondeado">
          <a:extLst>
            <a:ext uri="{FF2B5EF4-FFF2-40B4-BE49-F238E27FC236}">
              <a16:creationId xmlns:a16="http://schemas.microsoft.com/office/drawing/2014/main" id="{00000000-0008-0000-0000-00000E000000}"/>
            </a:ext>
          </a:extLst>
        </xdr:cNvPr>
        <xdr:cNvSpPr/>
      </xdr:nvSpPr>
      <xdr:spPr>
        <a:xfrm>
          <a:off x="266700" y="20393025"/>
          <a:ext cx="2505076" cy="285750"/>
        </a:xfrm>
        <a:prstGeom prst="roundRect">
          <a:avLst/>
        </a:prstGeom>
        <a:solidFill>
          <a:schemeClr val="accent2">
            <a:lumMod val="20000"/>
            <a:lumOff val="80000"/>
          </a:schemeClr>
        </a:solidFill>
        <a:ln>
          <a:solidFill>
            <a:schemeClr val="accent2"/>
          </a:solidFill>
        </a:ln>
        <a:effectLst>
          <a:glow rad="139700">
            <a:schemeClr val="accent2">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200" baseline="0">
              <a:solidFill>
                <a:schemeClr val="accent2"/>
              </a:solidFill>
              <a:effectLst>
                <a:glow rad="63500">
                  <a:schemeClr val="accent2">
                    <a:alpha val="40000"/>
                  </a:schemeClr>
                </a:glow>
              </a:effectLst>
              <a:latin typeface="Arial" pitchFamily="34" charset="0"/>
              <a:cs typeface="Arial" pitchFamily="34" charset="0"/>
            </a:rPr>
            <a:t>SALIDAS FORMATO 1008</a:t>
          </a:r>
        </a:p>
      </xdr:txBody>
    </xdr:sp>
    <xdr:clientData/>
  </xdr:twoCellAnchor>
  <xdr:twoCellAnchor>
    <xdr:from>
      <xdr:col>0</xdr:col>
      <xdr:colOff>238125</xdr:colOff>
      <xdr:row>134</xdr:row>
      <xdr:rowOff>142875</xdr:rowOff>
    </xdr:from>
    <xdr:to>
      <xdr:col>3</xdr:col>
      <xdr:colOff>714376</xdr:colOff>
      <xdr:row>136</xdr:row>
      <xdr:rowOff>47625</xdr:rowOff>
    </xdr:to>
    <xdr:sp macro="" textlink="">
      <xdr:nvSpPr>
        <xdr:cNvPr id="16" name="15 Rectángulo redondeado">
          <a:extLst>
            <a:ext uri="{FF2B5EF4-FFF2-40B4-BE49-F238E27FC236}">
              <a16:creationId xmlns:a16="http://schemas.microsoft.com/office/drawing/2014/main" id="{00000000-0008-0000-0000-000010000000}"/>
            </a:ext>
          </a:extLst>
        </xdr:cNvPr>
        <xdr:cNvSpPr/>
      </xdr:nvSpPr>
      <xdr:spPr>
        <a:xfrm>
          <a:off x="238125" y="23241000"/>
          <a:ext cx="2505076" cy="285750"/>
        </a:xfrm>
        <a:prstGeom prst="roundRect">
          <a:avLst/>
        </a:prstGeom>
        <a:solidFill>
          <a:schemeClr val="accent2">
            <a:lumMod val="20000"/>
            <a:lumOff val="80000"/>
          </a:schemeClr>
        </a:solidFill>
        <a:ln>
          <a:solidFill>
            <a:schemeClr val="accent2"/>
          </a:solidFill>
        </a:ln>
        <a:effectLst>
          <a:glow rad="139700">
            <a:schemeClr val="accent2">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200" baseline="0">
              <a:solidFill>
                <a:schemeClr val="accent2"/>
              </a:solidFill>
              <a:effectLst>
                <a:glow rad="63500">
                  <a:schemeClr val="accent2">
                    <a:alpha val="40000"/>
                  </a:schemeClr>
                </a:glow>
              </a:effectLst>
              <a:latin typeface="Arial" pitchFamily="34" charset="0"/>
              <a:cs typeface="Arial" pitchFamily="34" charset="0"/>
            </a:rPr>
            <a:t>SALIDAS LUMISIAL</a:t>
          </a:r>
        </a:p>
      </xdr:txBody>
    </xdr:sp>
    <xdr:clientData/>
  </xdr:twoCellAnchor>
  <xdr:twoCellAnchor>
    <xdr:from>
      <xdr:col>0</xdr:col>
      <xdr:colOff>358589</xdr:colOff>
      <xdr:row>77</xdr:row>
      <xdr:rowOff>131669</xdr:rowOff>
    </xdr:from>
    <xdr:to>
      <xdr:col>2</xdr:col>
      <xdr:colOff>495863</xdr:colOff>
      <xdr:row>79</xdr:row>
      <xdr:rowOff>36419</xdr:rowOff>
    </xdr:to>
    <xdr:sp macro="" textlink="">
      <xdr:nvSpPr>
        <xdr:cNvPr id="17" name="16 Rectángulo redondeado">
          <a:extLst>
            <a:ext uri="{FF2B5EF4-FFF2-40B4-BE49-F238E27FC236}">
              <a16:creationId xmlns:a16="http://schemas.microsoft.com/office/drawing/2014/main" id="{00000000-0008-0000-0000-000011000000}"/>
            </a:ext>
          </a:extLst>
        </xdr:cNvPr>
        <xdr:cNvSpPr/>
      </xdr:nvSpPr>
      <xdr:spPr>
        <a:xfrm>
          <a:off x="358589" y="14979463"/>
          <a:ext cx="1661274" cy="285750"/>
        </a:xfrm>
        <a:prstGeom prst="roundRect">
          <a:avLst/>
        </a:prstGeom>
        <a:solidFill>
          <a:schemeClr val="accent4">
            <a:lumMod val="20000"/>
            <a:lumOff val="80000"/>
          </a:schemeClr>
        </a:solidFill>
        <a:ln>
          <a:solidFill>
            <a:schemeClr val="accent4"/>
          </a:solidFill>
        </a:ln>
        <a:effectLst>
          <a:glow rad="1397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100">
              <a:solidFill>
                <a:schemeClr val="accent4"/>
              </a:solidFill>
              <a:effectLst>
                <a:glow rad="63500">
                  <a:schemeClr val="accent4">
                    <a:satMod val="175000"/>
                    <a:alpha val="40000"/>
                  </a:schemeClr>
                </a:glow>
              </a:effectLst>
              <a:latin typeface="Arial" pitchFamily="34" charset="0"/>
              <a:cs typeface="Arial" pitchFamily="34" charset="0"/>
            </a:rPr>
            <a:t>RECIBO</a:t>
          </a:r>
          <a:r>
            <a:rPr lang="es-CO" sz="1100" baseline="0">
              <a:solidFill>
                <a:schemeClr val="accent4"/>
              </a:solidFill>
              <a:effectLst>
                <a:glow rad="63500">
                  <a:schemeClr val="accent4">
                    <a:satMod val="175000"/>
                    <a:alpha val="40000"/>
                  </a:schemeClr>
                </a:glow>
              </a:effectLst>
              <a:latin typeface="Arial" pitchFamily="34" charset="0"/>
              <a:cs typeface="Arial" pitchFamily="34" charset="0"/>
            </a:rPr>
            <a:t> DE CAJA  No.</a:t>
          </a:r>
          <a:endParaRPr lang="es-CO" sz="1100">
            <a:solidFill>
              <a:schemeClr val="accent4"/>
            </a:solidFill>
            <a:effectLst>
              <a:glow rad="63500">
                <a:schemeClr val="accent4">
                  <a:satMod val="175000"/>
                  <a:alpha val="40000"/>
                </a:schemeClr>
              </a:glow>
            </a:effectLst>
            <a:latin typeface="Arial" pitchFamily="34" charset="0"/>
            <a:cs typeface="Arial" pitchFamily="34" charset="0"/>
          </a:endParaRPr>
        </a:p>
      </xdr:txBody>
    </xdr:sp>
    <xdr:clientData/>
  </xdr:twoCellAnchor>
  <xdr:twoCellAnchor>
    <xdr:from>
      <xdr:col>0</xdr:col>
      <xdr:colOff>66674</xdr:colOff>
      <xdr:row>150</xdr:row>
      <xdr:rowOff>123825</xdr:rowOff>
    </xdr:from>
    <xdr:to>
      <xdr:col>3</xdr:col>
      <xdr:colOff>714375</xdr:colOff>
      <xdr:row>152</xdr:row>
      <xdr:rowOff>28575</xdr:rowOff>
    </xdr:to>
    <xdr:sp macro="" textlink="">
      <xdr:nvSpPr>
        <xdr:cNvPr id="18" name="17 Rectángulo redondeado">
          <a:extLst>
            <a:ext uri="{FF2B5EF4-FFF2-40B4-BE49-F238E27FC236}">
              <a16:creationId xmlns:a16="http://schemas.microsoft.com/office/drawing/2014/main" id="{00000000-0008-0000-0000-000012000000}"/>
            </a:ext>
          </a:extLst>
        </xdr:cNvPr>
        <xdr:cNvSpPr/>
      </xdr:nvSpPr>
      <xdr:spPr>
        <a:xfrm>
          <a:off x="66674" y="27441525"/>
          <a:ext cx="2676526" cy="285750"/>
        </a:xfrm>
        <a:prstGeom prst="roundRect">
          <a:avLst/>
        </a:prstGeom>
        <a:solidFill>
          <a:schemeClr val="accent4">
            <a:lumMod val="20000"/>
            <a:lumOff val="80000"/>
          </a:schemeClr>
        </a:solidFill>
        <a:ln>
          <a:solidFill>
            <a:schemeClr val="accent4"/>
          </a:solidFill>
        </a:ln>
        <a:effectLst>
          <a:glow rad="1397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200">
              <a:solidFill>
                <a:schemeClr val="accent4"/>
              </a:solidFill>
              <a:effectLst>
                <a:glow rad="63500">
                  <a:schemeClr val="accent4">
                    <a:satMod val="175000"/>
                    <a:alpha val="40000"/>
                  </a:schemeClr>
                </a:glow>
              </a:effectLst>
              <a:latin typeface="Arial" pitchFamily="34" charset="0"/>
              <a:cs typeface="Arial" pitchFamily="34" charset="0"/>
            </a:rPr>
            <a:t>COMPROBANTE DE EGRESO No</a:t>
          </a:r>
          <a:r>
            <a:rPr lang="es-CO" sz="1100" baseline="0">
              <a:solidFill>
                <a:schemeClr val="accent4"/>
              </a:solidFill>
              <a:effectLst>
                <a:glow rad="63500">
                  <a:schemeClr val="accent4">
                    <a:satMod val="175000"/>
                    <a:alpha val="40000"/>
                  </a:schemeClr>
                </a:glow>
              </a:effectLst>
              <a:latin typeface="Arial" pitchFamily="34" charset="0"/>
              <a:cs typeface="Arial" pitchFamily="34" charset="0"/>
            </a:rPr>
            <a:t>.</a:t>
          </a:r>
          <a:endParaRPr lang="es-CO" sz="1100">
            <a:solidFill>
              <a:schemeClr val="accent4"/>
            </a:solidFill>
            <a:effectLst>
              <a:glow rad="63500">
                <a:schemeClr val="accent4">
                  <a:satMod val="175000"/>
                  <a:alpha val="40000"/>
                </a:schemeClr>
              </a:glow>
            </a:effectLst>
            <a:latin typeface="Arial" pitchFamily="34" charset="0"/>
            <a:cs typeface="Arial" pitchFamily="34" charset="0"/>
          </a:endParaRPr>
        </a:p>
      </xdr:txBody>
    </xdr:sp>
    <xdr:clientData/>
  </xdr:twoCellAnchor>
  <xdr:twoCellAnchor>
    <xdr:from>
      <xdr:col>6</xdr:col>
      <xdr:colOff>676275</xdr:colOff>
      <xdr:row>165</xdr:row>
      <xdr:rowOff>38100</xdr:rowOff>
    </xdr:from>
    <xdr:to>
      <xdr:col>10</xdr:col>
      <xdr:colOff>447675</xdr:colOff>
      <xdr:row>166</xdr:row>
      <xdr:rowOff>133350</xdr:rowOff>
    </xdr:to>
    <xdr:sp macro="" textlink="">
      <xdr:nvSpPr>
        <xdr:cNvPr id="19" name="18 Rectángulo redondeado">
          <a:extLst>
            <a:ext uri="{FF2B5EF4-FFF2-40B4-BE49-F238E27FC236}">
              <a16:creationId xmlns:a16="http://schemas.microsoft.com/office/drawing/2014/main" id="{00000000-0008-0000-0000-000013000000}"/>
            </a:ext>
          </a:extLst>
        </xdr:cNvPr>
        <xdr:cNvSpPr/>
      </xdr:nvSpPr>
      <xdr:spPr>
        <a:xfrm>
          <a:off x="5019675" y="28308300"/>
          <a:ext cx="2819400" cy="285750"/>
        </a:xfrm>
        <a:prstGeom prst="roundRect">
          <a:avLst/>
        </a:prstGeom>
        <a:solidFill>
          <a:srgbClr val="AAF6CC"/>
        </a:solidFill>
        <a:ln>
          <a:solidFill>
            <a:srgbClr val="AAF6CC"/>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100" b="1">
              <a:solidFill>
                <a:schemeClr val="tx1"/>
              </a:solidFill>
              <a:effectLst>
                <a:glow rad="63500">
                  <a:schemeClr val="accent3">
                    <a:alpha val="40000"/>
                  </a:schemeClr>
                </a:glow>
              </a:effectLst>
              <a:latin typeface="Arial" pitchFamily="34" charset="0"/>
              <a:cs typeface="Arial" pitchFamily="34" charset="0"/>
            </a:rPr>
            <a:t>CUADRE</a:t>
          </a:r>
          <a:r>
            <a:rPr lang="es-CO" sz="1100" b="1" baseline="0">
              <a:solidFill>
                <a:schemeClr val="tx1"/>
              </a:solidFill>
              <a:effectLst>
                <a:glow rad="63500">
                  <a:schemeClr val="accent3">
                    <a:alpha val="40000"/>
                  </a:schemeClr>
                </a:glow>
              </a:effectLst>
              <a:latin typeface="Arial" pitchFamily="34" charset="0"/>
              <a:cs typeface="Arial" pitchFamily="34" charset="0"/>
            </a:rPr>
            <a:t> DE CAJA - FORMARA 1004</a:t>
          </a:r>
          <a:endParaRPr lang="es-CO" sz="1100" b="1">
            <a:solidFill>
              <a:schemeClr val="tx1"/>
            </a:solidFill>
            <a:effectLst>
              <a:glow rad="63500">
                <a:schemeClr val="accent3">
                  <a:alpha val="40000"/>
                </a:schemeClr>
              </a:glow>
            </a:effectLst>
            <a:latin typeface="Arial" pitchFamily="34" charset="0"/>
            <a:cs typeface="Arial" pitchFamily="34" charset="0"/>
          </a:endParaRPr>
        </a:p>
      </xdr:txBody>
    </xdr:sp>
    <xdr:clientData/>
  </xdr:twoCellAnchor>
  <xdr:twoCellAnchor>
    <xdr:from>
      <xdr:col>0</xdr:col>
      <xdr:colOff>619126</xdr:colOff>
      <xdr:row>94</xdr:row>
      <xdr:rowOff>152400</xdr:rowOff>
    </xdr:from>
    <xdr:to>
      <xdr:col>3</xdr:col>
      <xdr:colOff>685801</xdr:colOff>
      <xdr:row>98</xdr:row>
      <xdr:rowOff>57150</xdr:rowOff>
    </xdr:to>
    <xdr:sp macro="" textlink="">
      <xdr:nvSpPr>
        <xdr:cNvPr id="20" name="19 Rectángulo redondeado">
          <a:extLst>
            <a:ext uri="{FF2B5EF4-FFF2-40B4-BE49-F238E27FC236}">
              <a16:creationId xmlns:a16="http://schemas.microsoft.com/office/drawing/2014/main" id="{00000000-0008-0000-0000-000014000000}"/>
            </a:ext>
          </a:extLst>
        </xdr:cNvPr>
        <xdr:cNvSpPr/>
      </xdr:nvSpPr>
      <xdr:spPr>
        <a:xfrm>
          <a:off x="619126" y="14678025"/>
          <a:ext cx="2095500" cy="285750"/>
        </a:xfrm>
        <a:prstGeom prst="roundRect">
          <a:avLst/>
        </a:prstGeom>
        <a:solidFill>
          <a:schemeClr val="accent4">
            <a:lumMod val="20000"/>
            <a:lumOff val="80000"/>
          </a:schemeClr>
        </a:solidFill>
        <a:ln>
          <a:solidFill>
            <a:schemeClr val="accent4"/>
          </a:solidFill>
        </a:ln>
        <a:effectLst>
          <a:glow rad="1397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200">
              <a:solidFill>
                <a:schemeClr val="accent4"/>
              </a:solidFill>
              <a:effectLst>
                <a:glow rad="63500">
                  <a:schemeClr val="accent4">
                    <a:satMod val="175000"/>
                    <a:alpha val="40000"/>
                  </a:schemeClr>
                </a:glow>
              </a:effectLst>
              <a:latin typeface="Arial" pitchFamily="34" charset="0"/>
              <a:cs typeface="Arial" pitchFamily="34" charset="0"/>
            </a:rPr>
            <a:t>ACTIVIDADES</a:t>
          </a:r>
          <a:r>
            <a:rPr lang="es-CO" sz="1200" baseline="0">
              <a:solidFill>
                <a:schemeClr val="accent4"/>
              </a:solidFill>
              <a:effectLst>
                <a:glow rad="63500">
                  <a:schemeClr val="accent4">
                    <a:satMod val="175000"/>
                    <a:alpha val="40000"/>
                  </a:schemeClr>
                </a:glow>
              </a:effectLst>
              <a:latin typeface="Arial" pitchFamily="34" charset="0"/>
              <a:cs typeface="Arial" pitchFamily="34" charset="0"/>
            </a:rPr>
            <a:t> LUMISIAL</a:t>
          </a:r>
          <a:endParaRPr lang="es-CO" sz="1200">
            <a:solidFill>
              <a:schemeClr val="accent4"/>
            </a:solidFill>
            <a:effectLst>
              <a:glow rad="63500">
                <a:schemeClr val="accent4">
                  <a:satMod val="175000"/>
                  <a:alpha val="40000"/>
                </a:schemeClr>
              </a:glow>
            </a:effectLst>
            <a:latin typeface="Arial" pitchFamily="34" charset="0"/>
            <a:cs typeface="Arial" pitchFamily="34" charset="0"/>
          </a:endParaRPr>
        </a:p>
      </xdr:txBody>
    </xdr:sp>
    <xdr:clientData/>
  </xdr:twoCellAnchor>
  <xdr:twoCellAnchor>
    <xdr:from>
      <xdr:col>1</xdr:col>
      <xdr:colOff>291353</xdr:colOff>
      <xdr:row>75</xdr:row>
      <xdr:rowOff>112059</xdr:rowOff>
    </xdr:from>
    <xdr:to>
      <xdr:col>2</xdr:col>
      <xdr:colOff>462243</xdr:colOff>
      <xdr:row>76</xdr:row>
      <xdr:rowOff>141755</xdr:rowOff>
    </xdr:to>
    <xdr:sp macro="" textlink="">
      <xdr:nvSpPr>
        <xdr:cNvPr id="22" name="16 Rectángulo redondeado">
          <a:extLst>
            <a:ext uri="{FF2B5EF4-FFF2-40B4-BE49-F238E27FC236}">
              <a16:creationId xmlns:a16="http://schemas.microsoft.com/office/drawing/2014/main" id="{00000000-0008-0000-0000-000016000000}"/>
            </a:ext>
          </a:extLst>
        </xdr:cNvPr>
        <xdr:cNvSpPr/>
      </xdr:nvSpPr>
      <xdr:spPr>
        <a:xfrm>
          <a:off x="1053353" y="14578853"/>
          <a:ext cx="932890" cy="220196"/>
        </a:xfrm>
        <a:prstGeom prst="roundRect">
          <a:avLst/>
        </a:prstGeom>
        <a:solidFill>
          <a:schemeClr val="accent4">
            <a:lumMod val="20000"/>
            <a:lumOff val="80000"/>
          </a:schemeClr>
        </a:solidFill>
        <a:ln>
          <a:solidFill>
            <a:schemeClr val="accent4"/>
          </a:solidFill>
        </a:ln>
        <a:effectLst>
          <a:glow rad="139700">
            <a:schemeClr val="accent4">
              <a:satMod val="175000"/>
              <a:alpha val="40000"/>
            </a:schemeClr>
          </a:glow>
          <a:outerShdw blurRad="40000" dist="20000" dir="5400000" rotWithShape="0">
            <a:srgbClr val="000000">
              <a:alpha val="38000"/>
            </a:srgb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O" sz="1100">
              <a:solidFill>
                <a:schemeClr val="accent4"/>
              </a:solidFill>
              <a:effectLst>
                <a:glow rad="63500">
                  <a:schemeClr val="accent4">
                    <a:satMod val="175000"/>
                    <a:alpha val="40000"/>
                  </a:schemeClr>
                </a:glow>
              </a:effectLst>
              <a:latin typeface="Arial" pitchFamily="34" charset="0"/>
              <a:cs typeface="Arial" pitchFamily="34" charset="0"/>
            </a:rPr>
            <a:t>FECHA</a:t>
          </a:r>
          <a:r>
            <a:rPr lang="es-CO" sz="1100" baseline="0">
              <a:solidFill>
                <a:schemeClr val="accent4"/>
              </a:solidFill>
              <a:effectLst>
                <a:glow rad="63500">
                  <a:schemeClr val="accent4">
                    <a:satMod val="175000"/>
                    <a:alpha val="40000"/>
                  </a:schemeClr>
                </a:glow>
              </a:effectLst>
              <a:latin typeface="Arial" pitchFamily="34" charset="0"/>
              <a:cs typeface="Arial" pitchFamily="34" charset="0"/>
            </a:rPr>
            <a:t>.</a:t>
          </a:r>
          <a:endParaRPr lang="es-CO" sz="1100">
            <a:solidFill>
              <a:schemeClr val="accent4"/>
            </a:solidFill>
            <a:effectLst>
              <a:glow rad="63500">
                <a:schemeClr val="accent4">
                  <a:satMod val="175000"/>
                  <a:alpha val="40000"/>
                </a:schemeClr>
              </a:glow>
            </a:effectLst>
            <a:latin typeface="Arial" pitchFamily="34" charset="0"/>
            <a:cs typeface="Arial" pitchFamily="34" charset="0"/>
          </a:endParaRPr>
        </a:p>
      </xdr:txBody>
    </xdr:sp>
    <xdr:clientData/>
  </xdr:twoCellAnchor>
  <xdr:twoCellAnchor>
    <xdr:from>
      <xdr:col>6</xdr:col>
      <xdr:colOff>570938</xdr:colOff>
      <xdr:row>156</xdr:row>
      <xdr:rowOff>109818</xdr:rowOff>
    </xdr:from>
    <xdr:to>
      <xdr:col>10</xdr:col>
      <xdr:colOff>732864</xdr:colOff>
      <xdr:row>158</xdr:row>
      <xdr:rowOff>25774</xdr:rowOff>
    </xdr:to>
    <xdr:sp macro="" textlink="">
      <xdr:nvSpPr>
        <xdr:cNvPr id="23" name="18 Rectángulo redondeado">
          <a:extLst>
            <a:ext uri="{FF2B5EF4-FFF2-40B4-BE49-F238E27FC236}">
              <a16:creationId xmlns:a16="http://schemas.microsoft.com/office/drawing/2014/main" id="{00000000-0008-0000-0000-000017000000}"/>
            </a:ext>
          </a:extLst>
        </xdr:cNvPr>
        <xdr:cNvSpPr/>
      </xdr:nvSpPr>
      <xdr:spPr>
        <a:xfrm>
          <a:off x="5107079" y="28545865"/>
          <a:ext cx="3317503" cy="274544"/>
        </a:xfrm>
        <a:prstGeom prst="roundRect">
          <a:avLst/>
        </a:prstGeom>
        <a:solidFill>
          <a:srgbClr val="F8D6F1"/>
        </a:solidFill>
        <a:ln>
          <a:solidFill>
            <a:srgbClr val="F8D6F1"/>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O" sz="1100" b="1">
              <a:solidFill>
                <a:schemeClr val="tx1"/>
              </a:solidFill>
              <a:effectLst>
                <a:glow rad="63500">
                  <a:schemeClr val="accent3">
                    <a:alpha val="40000"/>
                  </a:schemeClr>
                </a:glow>
              </a:effectLst>
              <a:latin typeface="Arial" pitchFamily="34" charset="0"/>
              <a:cs typeface="Arial" pitchFamily="34" charset="0"/>
            </a:rPr>
            <a:t>ENTREGA</a:t>
          </a:r>
          <a:r>
            <a:rPr lang="es-CO" sz="1100" b="1" baseline="0">
              <a:solidFill>
                <a:schemeClr val="tx1"/>
              </a:solidFill>
              <a:effectLst>
                <a:glow rad="63500">
                  <a:schemeClr val="accent3">
                    <a:alpha val="40000"/>
                  </a:schemeClr>
                </a:glow>
              </a:effectLst>
              <a:latin typeface="Arial" pitchFamily="34" charset="0"/>
              <a:cs typeface="Arial" pitchFamily="34" charset="0"/>
            </a:rPr>
            <a:t> DE FONDOS- FORMARA 1008</a:t>
          </a:r>
          <a:endParaRPr lang="es-CO" sz="1100" b="1">
            <a:solidFill>
              <a:schemeClr val="tx1"/>
            </a:solidFill>
            <a:effectLst>
              <a:glow rad="63500">
                <a:schemeClr val="accent3">
                  <a:alpha val="40000"/>
                </a:schemeClr>
              </a:glow>
            </a:effectLst>
            <a:latin typeface="Arial" pitchFamily="34" charset="0"/>
            <a:cs typeface="Arial" pitchFamily="34" charset="0"/>
          </a:endParaRPr>
        </a:p>
      </xdr:txBody>
    </xdr:sp>
    <xdr:clientData/>
  </xdr:twoCellAnchor>
  <xdr:twoCellAnchor>
    <xdr:from>
      <xdr:col>0</xdr:col>
      <xdr:colOff>700590</xdr:colOff>
      <xdr:row>22</xdr:row>
      <xdr:rowOff>107574</xdr:rowOff>
    </xdr:from>
    <xdr:to>
      <xdr:col>3</xdr:col>
      <xdr:colOff>313764</xdr:colOff>
      <xdr:row>24</xdr:row>
      <xdr:rowOff>84827</xdr:rowOff>
    </xdr:to>
    <xdr:sp macro="" textlink="">
      <xdr:nvSpPr>
        <xdr:cNvPr id="9" name="2 Rectángulo">
          <a:hlinkClick xmlns:r="http://schemas.openxmlformats.org/officeDocument/2006/relationships" r:id="rId1"/>
          <a:extLst>
            <a:ext uri="{FF2B5EF4-FFF2-40B4-BE49-F238E27FC236}">
              <a16:creationId xmlns:a16="http://schemas.microsoft.com/office/drawing/2014/main" id="{B2174E71-6897-456A-89A0-04467B4AA37C}"/>
            </a:ext>
          </a:extLst>
        </xdr:cNvPr>
        <xdr:cNvSpPr/>
      </xdr:nvSpPr>
      <xdr:spPr>
        <a:xfrm>
          <a:off x="700590" y="4052045"/>
          <a:ext cx="1710915" cy="335841"/>
        </a:xfrm>
        <a:prstGeom prst="rect">
          <a:avLst/>
        </a:prstGeom>
        <a:solidFill>
          <a:schemeClr val="accent3">
            <a:lumMod val="60000"/>
            <a:lumOff val="40000"/>
          </a:schemeClr>
        </a:solidFill>
        <a:ln>
          <a:solidFill>
            <a:srgbClr val="92D050"/>
          </a:solidFill>
        </a:ln>
        <a:effectLst>
          <a:glow rad="101600">
            <a:schemeClr val="accent3">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2400" b="1">
              <a:solidFill>
                <a:schemeClr val="accent3">
                  <a:lumMod val="50000"/>
                </a:schemeClr>
              </a:solidFill>
              <a:effectLst>
                <a:glow rad="101600">
                  <a:schemeClr val="accent5">
                    <a:alpha val="40000"/>
                  </a:schemeClr>
                </a:glow>
              </a:effectLst>
              <a:latin typeface="Algerian" panose="04020705040A02060702" pitchFamily="82" charset="0"/>
            </a:rPr>
            <a:t>INGRESOS</a:t>
          </a:r>
        </a:p>
      </xdr:txBody>
    </xdr:sp>
    <xdr:clientData/>
  </xdr:twoCellAnchor>
  <xdr:twoCellAnchor>
    <xdr:from>
      <xdr:col>0</xdr:col>
      <xdr:colOff>663388</xdr:colOff>
      <xdr:row>34</xdr:row>
      <xdr:rowOff>71716</xdr:rowOff>
    </xdr:from>
    <xdr:to>
      <xdr:col>2</xdr:col>
      <xdr:colOff>403412</xdr:colOff>
      <xdr:row>35</xdr:row>
      <xdr:rowOff>179293</xdr:rowOff>
    </xdr:to>
    <xdr:sp macro="" textlink="">
      <xdr:nvSpPr>
        <xdr:cNvPr id="15" name="3 Rectángulo redondeado">
          <a:extLst>
            <a:ext uri="{FF2B5EF4-FFF2-40B4-BE49-F238E27FC236}">
              <a16:creationId xmlns:a16="http://schemas.microsoft.com/office/drawing/2014/main" id="{CFAB44BF-9D9A-4D5C-8ACB-C18C88EA8569}"/>
            </a:ext>
          </a:extLst>
        </xdr:cNvPr>
        <xdr:cNvSpPr/>
      </xdr:nvSpPr>
      <xdr:spPr>
        <a:xfrm>
          <a:off x="663388" y="6167716"/>
          <a:ext cx="1317812" cy="286871"/>
        </a:xfrm>
        <a:prstGeom prst="roundRect">
          <a:avLst/>
        </a:prstGeom>
        <a:solidFill>
          <a:schemeClr val="accent3">
            <a:lumMod val="60000"/>
            <a:lumOff val="40000"/>
          </a:schemeClr>
        </a:solidFill>
        <a:ln>
          <a:solidFill>
            <a:schemeClr val="accent3">
              <a:lumMod val="60000"/>
              <a:lumOff val="40000"/>
            </a:schemeClr>
          </a:solidFill>
        </a:ln>
        <a:effectLst>
          <a:glow rad="101600">
            <a:schemeClr val="accent3">
              <a:lumMod val="60000"/>
              <a:lumOff val="40000"/>
              <a:alpha val="60000"/>
            </a:schemeClr>
          </a:glow>
          <a:outerShdw blurRad="50800" dist="50800" dir="5400000" algn="ctr" rotWithShape="0">
            <a:schemeClr val="accent3">
              <a:lumMod val="60000"/>
              <a:lumOff val="40000"/>
            </a:scheme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400" b="1">
              <a:solidFill>
                <a:schemeClr val="bg1"/>
              </a:solidFill>
              <a:effectLst>
                <a:glow rad="63500">
                  <a:schemeClr val="accent5">
                    <a:alpha val="40000"/>
                  </a:schemeClr>
                </a:glow>
              </a:effectLst>
              <a:latin typeface="Arial" pitchFamily="34" charset="0"/>
              <a:cs typeface="Arial" pitchFamily="34" charset="0"/>
            </a:rPr>
            <a:t>No. CEDULA</a:t>
          </a:r>
        </a:p>
      </xdr:txBody>
    </xdr:sp>
    <xdr:clientData/>
  </xdr:twoCellAnchor>
  <xdr:twoCellAnchor>
    <xdr:from>
      <xdr:col>0</xdr:col>
      <xdr:colOff>699247</xdr:colOff>
      <xdr:row>40</xdr:row>
      <xdr:rowOff>53789</xdr:rowOff>
    </xdr:from>
    <xdr:to>
      <xdr:col>2</xdr:col>
      <xdr:colOff>319928</xdr:colOff>
      <xdr:row>41</xdr:row>
      <xdr:rowOff>156883</xdr:rowOff>
    </xdr:to>
    <xdr:sp macro="" textlink="">
      <xdr:nvSpPr>
        <xdr:cNvPr id="24" name="3 Rectángulo redondeado">
          <a:extLst>
            <a:ext uri="{FF2B5EF4-FFF2-40B4-BE49-F238E27FC236}">
              <a16:creationId xmlns:a16="http://schemas.microsoft.com/office/drawing/2014/main" id="{78E6F3BF-C69F-4D2F-9C8A-CB66A897CABB}"/>
            </a:ext>
          </a:extLst>
        </xdr:cNvPr>
        <xdr:cNvSpPr/>
      </xdr:nvSpPr>
      <xdr:spPr>
        <a:xfrm>
          <a:off x="699247" y="7225554"/>
          <a:ext cx="1198469" cy="282388"/>
        </a:xfrm>
        <a:prstGeom prst="roundRect">
          <a:avLst/>
        </a:prstGeom>
        <a:solidFill>
          <a:schemeClr val="accent3">
            <a:lumMod val="60000"/>
            <a:lumOff val="40000"/>
          </a:schemeClr>
        </a:solidFill>
        <a:ln>
          <a:solidFill>
            <a:schemeClr val="accent3">
              <a:lumMod val="60000"/>
              <a:lumOff val="40000"/>
            </a:schemeClr>
          </a:solidFill>
        </a:ln>
        <a:effectLst>
          <a:glow rad="101600">
            <a:schemeClr val="accent3">
              <a:lumMod val="60000"/>
              <a:lumOff val="40000"/>
              <a:alpha val="60000"/>
            </a:schemeClr>
          </a:glow>
          <a:outerShdw blurRad="50800" dist="50800" dir="5400000" algn="ctr" rotWithShape="0">
            <a:schemeClr val="accent3">
              <a:lumMod val="60000"/>
              <a:lumOff val="40000"/>
            </a:scheme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600" b="1">
              <a:solidFill>
                <a:schemeClr val="bg1"/>
              </a:solidFill>
              <a:effectLst>
                <a:glow rad="63500">
                  <a:schemeClr val="accent5">
                    <a:alpha val="40000"/>
                  </a:schemeClr>
                </a:glow>
              </a:effectLst>
              <a:latin typeface="Arial" pitchFamily="34" charset="0"/>
              <a:cs typeface="Arial" pitchFamily="34" charset="0"/>
            </a:rPr>
            <a:t>APORTES</a:t>
          </a:r>
        </a:p>
      </xdr:txBody>
    </xdr:sp>
    <xdr:clientData/>
  </xdr:twoCellAnchor>
  <xdr:twoCellAnchor>
    <xdr:from>
      <xdr:col>0</xdr:col>
      <xdr:colOff>654424</xdr:colOff>
      <xdr:row>46</xdr:row>
      <xdr:rowOff>134472</xdr:rowOff>
    </xdr:from>
    <xdr:to>
      <xdr:col>2</xdr:col>
      <xdr:colOff>349624</xdr:colOff>
      <xdr:row>48</xdr:row>
      <xdr:rowOff>35859</xdr:rowOff>
    </xdr:to>
    <xdr:sp macro="" textlink="">
      <xdr:nvSpPr>
        <xdr:cNvPr id="25" name="3 Rectángulo redondeado">
          <a:extLst>
            <a:ext uri="{FF2B5EF4-FFF2-40B4-BE49-F238E27FC236}">
              <a16:creationId xmlns:a16="http://schemas.microsoft.com/office/drawing/2014/main" id="{FD67FBDB-EDED-43BC-9B57-07CA4513BEA8}"/>
            </a:ext>
          </a:extLst>
        </xdr:cNvPr>
        <xdr:cNvSpPr/>
      </xdr:nvSpPr>
      <xdr:spPr>
        <a:xfrm>
          <a:off x="654424" y="8382001"/>
          <a:ext cx="1272988" cy="259976"/>
        </a:xfrm>
        <a:prstGeom prst="roundRect">
          <a:avLst/>
        </a:prstGeom>
        <a:solidFill>
          <a:schemeClr val="accent3">
            <a:lumMod val="60000"/>
            <a:lumOff val="40000"/>
          </a:schemeClr>
        </a:solidFill>
        <a:ln>
          <a:solidFill>
            <a:schemeClr val="accent3">
              <a:lumMod val="60000"/>
              <a:lumOff val="40000"/>
            </a:schemeClr>
          </a:solidFill>
        </a:ln>
        <a:effectLst>
          <a:glow rad="101600">
            <a:schemeClr val="accent3">
              <a:lumMod val="60000"/>
              <a:lumOff val="40000"/>
              <a:alpha val="60000"/>
            </a:schemeClr>
          </a:glow>
          <a:outerShdw blurRad="50800" dist="50800" dir="5400000" algn="ctr" rotWithShape="0">
            <a:schemeClr val="accent3">
              <a:lumMod val="60000"/>
              <a:lumOff val="40000"/>
            </a:scheme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600" b="1">
              <a:solidFill>
                <a:schemeClr val="bg1"/>
              </a:solidFill>
              <a:effectLst>
                <a:glow rad="63500">
                  <a:schemeClr val="accent5">
                    <a:alpha val="40000"/>
                  </a:schemeClr>
                </a:glow>
              </a:effectLst>
              <a:latin typeface="Arial" pitchFamily="34" charset="0"/>
              <a:cs typeface="Arial" pitchFamily="34" charset="0"/>
            </a:rPr>
            <a:t>No CUOTA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752475</xdr:colOff>
      <xdr:row>12</xdr:row>
      <xdr:rowOff>0</xdr:rowOff>
    </xdr:from>
    <xdr:to>
      <xdr:col>7</xdr:col>
      <xdr:colOff>1552574</xdr:colOff>
      <xdr:row>13</xdr:row>
      <xdr:rowOff>161925</xdr:rowOff>
    </xdr:to>
    <xdr:sp macro="" textlink="">
      <xdr:nvSpPr>
        <xdr:cNvPr id="3" name="2 Rectángulo">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1409700" y="1571625"/>
          <a:ext cx="4905374" cy="352425"/>
        </a:xfrm>
        <a:prstGeom prst="rect">
          <a:avLst/>
        </a:prstGeom>
        <a:solidFill>
          <a:schemeClr val="accent3">
            <a:lumMod val="60000"/>
            <a:lumOff val="40000"/>
          </a:schemeClr>
        </a:solidFill>
        <a:ln>
          <a:solidFill>
            <a:srgbClr val="92D050"/>
          </a:solidFill>
        </a:ln>
        <a:effectLst>
          <a:glow rad="101600">
            <a:schemeClr val="accent3">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2400" b="1">
              <a:solidFill>
                <a:schemeClr val="accent3">
                  <a:lumMod val="50000"/>
                </a:schemeClr>
              </a:solidFill>
              <a:effectLst>
                <a:glow rad="101600">
                  <a:schemeClr val="accent5">
                    <a:alpha val="40000"/>
                  </a:schemeClr>
                </a:glow>
              </a:effectLst>
              <a:latin typeface="Algerian" panose="04020705040A02060702" pitchFamily="82" charset="0"/>
            </a:rPr>
            <a:t>INGRESOS</a:t>
          </a:r>
        </a:p>
      </xdr:txBody>
    </xdr:sp>
    <xdr:clientData/>
  </xdr:twoCellAnchor>
  <xdr:twoCellAnchor>
    <xdr:from>
      <xdr:col>2</xdr:col>
      <xdr:colOff>1501139</xdr:colOff>
      <xdr:row>1</xdr:row>
      <xdr:rowOff>40005</xdr:rowOff>
    </xdr:from>
    <xdr:to>
      <xdr:col>12</xdr:col>
      <xdr:colOff>701040</xdr:colOff>
      <xdr:row>4</xdr:row>
      <xdr:rowOff>167640</xdr:rowOff>
    </xdr:to>
    <xdr:sp macro="" textlink="">
      <xdr:nvSpPr>
        <xdr:cNvPr id="4" name="3 Rectángulo">
          <a:extLst>
            <a:ext uri="{FF2B5EF4-FFF2-40B4-BE49-F238E27FC236}">
              <a16:creationId xmlns:a16="http://schemas.microsoft.com/office/drawing/2014/main" id="{00000000-0008-0000-0100-000004000000}"/>
            </a:ext>
          </a:extLst>
        </xdr:cNvPr>
        <xdr:cNvSpPr/>
      </xdr:nvSpPr>
      <xdr:spPr>
        <a:xfrm>
          <a:off x="2034539" y="222885"/>
          <a:ext cx="10576561" cy="851535"/>
        </a:xfrm>
        <a:prstGeom prst="rect">
          <a:avLst/>
        </a:prstGeom>
        <a:noFill/>
        <a:ln>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s-CO" sz="2400" b="1" baseline="0">
              <a:solidFill>
                <a:schemeClr val="bg1"/>
              </a:solidFill>
              <a:effectLst/>
              <a:latin typeface="Times New Roman" panose="02020603050405020304" pitchFamily="18" charset="0"/>
              <a:cs typeface="Times New Roman" panose="02020603050405020304" pitchFamily="18" charset="0"/>
            </a:rPr>
            <a:t>SANTA IGLESIA GNOSTICA CRISTIANA UNIVERSAL </a:t>
          </a:r>
        </a:p>
        <a:p>
          <a:pPr algn="ctr"/>
          <a:r>
            <a:rPr lang="es-CO" sz="2400" b="1" baseline="0">
              <a:solidFill>
                <a:schemeClr val="bg1"/>
              </a:solidFill>
              <a:effectLst/>
              <a:latin typeface="Times New Roman" panose="02020603050405020304" pitchFamily="18" charset="0"/>
              <a:cs typeface="Times New Roman" panose="02020603050405020304" pitchFamily="18" charset="0"/>
            </a:rPr>
            <a:t>SAMAEL AUN WEOR DE COLOMBIA</a:t>
          </a:r>
        </a:p>
      </xdr:txBody>
    </xdr:sp>
    <xdr:clientData/>
  </xdr:twoCellAnchor>
  <xdr:twoCellAnchor>
    <xdr:from>
      <xdr:col>0</xdr:col>
      <xdr:colOff>167640</xdr:colOff>
      <xdr:row>4</xdr:row>
      <xdr:rowOff>173355</xdr:rowOff>
    </xdr:from>
    <xdr:to>
      <xdr:col>13</xdr:col>
      <xdr:colOff>784860</xdr:colOff>
      <xdr:row>6</xdr:row>
      <xdr:rowOff>104775</xdr:rowOff>
    </xdr:to>
    <xdr:sp macro="" textlink="">
      <xdr:nvSpPr>
        <xdr:cNvPr id="8" name="7 Rectángulo">
          <a:extLst>
            <a:ext uri="{FF2B5EF4-FFF2-40B4-BE49-F238E27FC236}">
              <a16:creationId xmlns:a16="http://schemas.microsoft.com/office/drawing/2014/main" id="{00000000-0008-0000-0100-000008000000}"/>
            </a:ext>
          </a:extLst>
        </xdr:cNvPr>
        <xdr:cNvSpPr/>
      </xdr:nvSpPr>
      <xdr:spPr>
        <a:xfrm>
          <a:off x="167640" y="1080135"/>
          <a:ext cx="13464540" cy="48768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rtl="0" eaLnBrk="1" latinLnBrk="0" hangingPunct="1"/>
          <a:r>
            <a:rPr lang="es-CO" sz="1400" b="1" i="1">
              <a:solidFill>
                <a:schemeClr val="bg1"/>
              </a:solidFill>
              <a:effectLst/>
              <a:latin typeface="Lucida Calligraphy" panose="03010101010101010101" pitchFamily="66" charset="0"/>
              <a:ea typeface="+mn-ea"/>
              <a:cs typeface="+mn-cs"/>
            </a:rPr>
            <a:t>La “COOPERACIÓN TRAE beneficio económico, la Cooperación trae paz, pan y trabajo fecundo y creador” </a:t>
          </a:r>
          <a:r>
            <a:rPr lang="es-CO" sz="1200" b="0" i="1">
              <a:solidFill>
                <a:schemeClr val="bg1"/>
              </a:solidFill>
              <a:effectLst/>
              <a:latin typeface="Lucida Calligraphy" panose="03010101010101010101" pitchFamily="66" charset="0"/>
              <a:ea typeface="+mn-ea"/>
              <a:cs typeface="+mn-cs"/>
            </a:rPr>
            <a:t>V</a:t>
          </a:r>
          <a:r>
            <a:rPr lang="es-CO" sz="1200" b="0" i="0">
              <a:solidFill>
                <a:schemeClr val="bg1"/>
              </a:solidFill>
              <a:effectLst/>
              <a:latin typeface="Lucida Calligraphy" panose="03010101010101010101" pitchFamily="66" charset="0"/>
              <a:ea typeface="+mn-ea"/>
              <a:cs typeface="+mn-cs"/>
            </a:rPr>
            <a:t>.M SAMAEL AUN WEOR</a:t>
          </a:r>
          <a:endParaRPr lang="es-CO" sz="1200" b="0" i="0">
            <a:solidFill>
              <a:schemeClr val="bg1"/>
            </a:solidFill>
            <a:effectLst/>
            <a:latin typeface="Lucida Calligraphy" panose="03010101010101010101" pitchFamily="66" charset="0"/>
          </a:endParaRPr>
        </a:p>
      </xdr:txBody>
    </xdr:sp>
    <xdr:clientData/>
  </xdr:twoCellAnchor>
  <xdr:twoCellAnchor>
    <xdr:from>
      <xdr:col>9</xdr:col>
      <xdr:colOff>752475</xdr:colOff>
      <xdr:row>11</xdr:row>
      <xdr:rowOff>180975</xdr:rowOff>
    </xdr:from>
    <xdr:to>
      <xdr:col>12</xdr:col>
      <xdr:colOff>790575</xdr:colOff>
      <xdr:row>13</xdr:row>
      <xdr:rowOff>152400</xdr:rowOff>
    </xdr:to>
    <xdr:sp macro="" textlink="">
      <xdr:nvSpPr>
        <xdr:cNvPr id="11" name="10 Rectángulo">
          <a:hlinkClick xmlns:r="http://schemas.openxmlformats.org/officeDocument/2006/relationships" r:id="rId2"/>
          <a:extLst>
            <a:ext uri="{FF2B5EF4-FFF2-40B4-BE49-F238E27FC236}">
              <a16:creationId xmlns:a16="http://schemas.microsoft.com/office/drawing/2014/main" id="{00000000-0008-0000-0100-00000B000000}"/>
            </a:ext>
          </a:extLst>
        </xdr:cNvPr>
        <xdr:cNvSpPr/>
      </xdr:nvSpPr>
      <xdr:spPr>
        <a:xfrm>
          <a:off x="8001000" y="1562100"/>
          <a:ext cx="3476625" cy="352425"/>
        </a:xfrm>
        <a:prstGeom prst="rect">
          <a:avLst/>
        </a:prstGeom>
        <a:solidFill>
          <a:schemeClr val="accent2">
            <a:lumMod val="20000"/>
            <a:lumOff val="80000"/>
          </a:schemeClr>
        </a:solidFill>
        <a:ln>
          <a:solidFill>
            <a:schemeClr val="accent2"/>
          </a:solidFill>
        </a:ln>
        <a:effectLst>
          <a:glow rad="101600">
            <a:schemeClr val="accent2">
              <a:satMod val="175000"/>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2400" b="1">
              <a:solidFill>
                <a:schemeClr val="accent2"/>
              </a:solidFill>
              <a:effectLst>
                <a:glow rad="63500">
                  <a:schemeClr val="accent2">
                    <a:satMod val="175000"/>
                    <a:alpha val="40000"/>
                  </a:schemeClr>
                </a:glow>
              </a:effectLst>
              <a:latin typeface="Algerian" panose="04020705040A02060702" pitchFamily="82" charset="0"/>
            </a:rPr>
            <a:t>EGRESOS</a:t>
          </a:r>
        </a:p>
      </xdr:txBody>
    </xdr:sp>
    <xdr:clientData/>
  </xdr:twoCellAnchor>
  <xdr:twoCellAnchor editAs="oneCell">
    <xdr:from>
      <xdr:col>0</xdr:col>
      <xdr:colOff>68580</xdr:colOff>
      <xdr:row>0</xdr:row>
      <xdr:rowOff>114300</xdr:rowOff>
    </xdr:from>
    <xdr:to>
      <xdr:col>2</xdr:col>
      <xdr:colOff>591589</xdr:colOff>
      <xdr:row>4</xdr:row>
      <xdr:rowOff>75317</xdr:rowOff>
    </xdr:to>
    <xdr:pic>
      <xdr:nvPicPr>
        <xdr:cNvPr id="2" name="Imagen 1">
          <a:extLst>
            <a:ext uri="{FF2B5EF4-FFF2-40B4-BE49-F238E27FC236}">
              <a16:creationId xmlns:a16="http://schemas.microsoft.com/office/drawing/2014/main" id="{F9B13CE4-2373-4404-97B4-36DA5AD624B8}"/>
            </a:ext>
          </a:extLst>
        </xdr:cNvPr>
        <xdr:cNvPicPr>
          <a:picLocks noChangeAspect="1"/>
        </xdr:cNvPicPr>
      </xdr:nvPicPr>
      <xdr:blipFill>
        <a:blip xmlns:r="http://schemas.openxmlformats.org/officeDocument/2006/relationships" r:embed="rId3"/>
        <a:stretch>
          <a:fillRect/>
        </a:stretch>
      </xdr:blipFill>
      <xdr:spPr>
        <a:xfrm>
          <a:off x="68580" y="114300"/>
          <a:ext cx="1056409" cy="8677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752475</xdr:colOff>
      <xdr:row>2</xdr:row>
      <xdr:rowOff>19050</xdr:rowOff>
    </xdr:from>
    <xdr:to>
      <xdr:col>15</xdr:col>
      <xdr:colOff>0</xdr:colOff>
      <xdr:row>3</xdr:row>
      <xdr:rowOff>152400</xdr:rowOff>
    </xdr:to>
    <xdr:sp macro="" textlink="">
      <xdr:nvSpPr>
        <xdr:cNvPr id="3" name="2 Rectángulo">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8763000" y="447675"/>
          <a:ext cx="1628775" cy="323850"/>
        </a:xfrm>
        <a:prstGeom prst="rect">
          <a:avLst/>
        </a:prstGeom>
        <a:solidFill>
          <a:schemeClr val="accent6">
            <a:lumMod val="20000"/>
            <a:lumOff val="80000"/>
          </a:schemeClr>
        </a:solidFill>
        <a:ln>
          <a:solidFill>
            <a:schemeClr val="accent6"/>
          </a:solidFill>
        </a:ln>
        <a:effectLst>
          <a:glow rad="101600">
            <a:schemeClr val="accent6">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1400" b="1">
              <a:solidFill>
                <a:schemeClr val="accent6"/>
              </a:solidFill>
              <a:effectLst>
                <a:glow rad="63500">
                  <a:schemeClr val="accent6">
                    <a:alpha val="40000"/>
                  </a:schemeClr>
                </a:glow>
              </a:effectLst>
              <a:latin typeface="Arial Narrow" pitchFamily="34" charset="0"/>
            </a:rPr>
            <a:t>MENU</a:t>
          </a:r>
          <a:r>
            <a:rPr lang="es-CO" sz="1400" b="1" baseline="0">
              <a:solidFill>
                <a:schemeClr val="accent6"/>
              </a:solidFill>
              <a:effectLst>
                <a:glow rad="63500">
                  <a:schemeClr val="accent6">
                    <a:alpha val="40000"/>
                  </a:schemeClr>
                </a:glow>
              </a:effectLst>
              <a:latin typeface="Arial Narrow" pitchFamily="34" charset="0"/>
            </a:rPr>
            <a:t> PRINCIPAL</a:t>
          </a:r>
          <a:endParaRPr lang="es-CO" sz="1400" b="1">
            <a:solidFill>
              <a:schemeClr val="accent6"/>
            </a:solidFill>
            <a:effectLst>
              <a:glow rad="63500">
                <a:schemeClr val="accent6">
                  <a:alpha val="40000"/>
                </a:schemeClr>
              </a:glow>
            </a:effectLst>
            <a:latin typeface="Arial Narrow" pitchFamily="34" charset="0"/>
          </a:endParaRPr>
        </a:p>
      </xdr:txBody>
    </xdr:sp>
    <xdr:clientData/>
  </xdr:twoCellAnchor>
  <xdr:twoCellAnchor editAs="oneCell">
    <xdr:from>
      <xdr:col>0</xdr:col>
      <xdr:colOff>179716</xdr:colOff>
      <xdr:row>0</xdr:row>
      <xdr:rowOff>104222</xdr:rowOff>
    </xdr:from>
    <xdr:to>
      <xdr:col>3</xdr:col>
      <xdr:colOff>646980</xdr:colOff>
      <xdr:row>5</xdr:row>
      <xdr:rowOff>26721</xdr:rowOff>
    </xdr:to>
    <xdr:pic>
      <xdr:nvPicPr>
        <xdr:cNvPr id="4" name="Imagen 3">
          <a:extLst>
            <a:ext uri="{FF2B5EF4-FFF2-40B4-BE49-F238E27FC236}">
              <a16:creationId xmlns:a16="http://schemas.microsoft.com/office/drawing/2014/main" id="{B399FA31-B125-440E-976A-E55C40BDD4E3}"/>
            </a:ext>
          </a:extLst>
        </xdr:cNvPr>
        <xdr:cNvPicPr>
          <a:picLocks noChangeAspect="1"/>
        </xdr:cNvPicPr>
      </xdr:nvPicPr>
      <xdr:blipFill>
        <a:blip xmlns:r="http://schemas.openxmlformats.org/officeDocument/2006/relationships" r:embed="rId2"/>
        <a:stretch>
          <a:fillRect/>
        </a:stretch>
      </xdr:blipFill>
      <xdr:spPr>
        <a:xfrm>
          <a:off x="179716" y="104222"/>
          <a:ext cx="1078302" cy="88578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10467</xdr:colOff>
      <xdr:row>2</xdr:row>
      <xdr:rowOff>20935</xdr:rowOff>
    </xdr:from>
    <xdr:to>
      <xdr:col>13</xdr:col>
      <xdr:colOff>90122</xdr:colOff>
      <xdr:row>3</xdr:row>
      <xdr:rowOff>156378</xdr:rowOff>
    </xdr:to>
    <xdr:sp macro="" textlink="">
      <xdr:nvSpPr>
        <xdr:cNvPr id="4" name="3 Rectángulo">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9085385" y="450083"/>
          <a:ext cx="1628775" cy="323850"/>
        </a:xfrm>
        <a:prstGeom prst="rect">
          <a:avLst/>
        </a:prstGeom>
        <a:solidFill>
          <a:schemeClr val="accent6">
            <a:lumMod val="20000"/>
            <a:lumOff val="80000"/>
          </a:schemeClr>
        </a:solidFill>
        <a:ln>
          <a:solidFill>
            <a:schemeClr val="accent6"/>
          </a:solidFill>
        </a:ln>
        <a:effectLst>
          <a:glow rad="101600">
            <a:schemeClr val="accent6">
              <a:alpha val="40000"/>
            </a:schemeClr>
          </a:glow>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s-CO" sz="1400" b="1">
              <a:solidFill>
                <a:schemeClr val="accent6"/>
              </a:solidFill>
              <a:effectLst>
                <a:glow rad="63500">
                  <a:schemeClr val="accent6">
                    <a:alpha val="40000"/>
                  </a:schemeClr>
                </a:glow>
              </a:effectLst>
              <a:latin typeface="Arial Narrow" pitchFamily="34" charset="0"/>
            </a:rPr>
            <a:t>MENU</a:t>
          </a:r>
          <a:r>
            <a:rPr lang="es-CO" sz="1400" b="1" baseline="0">
              <a:solidFill>
                <a:schemeClr val="accent6"/>
              </a:solidFill>
              <a:effectLst>
                <a:glow rad="63500">
                  <a:schemeClr val="accent6">
                    <a:alpha val="40000"/>
                  </a:schemeClr>
                </a:glow>
              </a:effectLst>
              <a:latin typeface="Arial Narrow" pitchFamily="34" charset="0"/>
            </a:rPr>
            <a:t> PRINCIPAL</a:t>
          </a:r>
          <a:endParaRPr lang="es-CO" sz="1400" b="1">
            <a:solidFill>
              <a:schemeClr val="accent6"/>
            </a:solidFill>
            <a:effectLst>
              <a:glow rad="63500">
                <a:schemeClr val="accent6">
                  <a:alpha val="40000"/>
                </a:schemeClr>
              </a:glow>
            </a:effectLst>
            <a:latin typeface="Arial Narrow" pitchFamily="34" charset="0"/>
          </a:endParaRPr>
        </a:p>
      </xdr:txBody>
    </xdr:sp>
    <xdr:clientData/>
  </xdr:twoCellAnchor>
  <xdr:twoCellAnchor editAs="oneCell">
    <xdr:from>
      <xdr:col>0</xdr:col>
      <xdr:colOff>92110</xdr:colOff>
      <xdr:row>0</xdr:row>
      <xdr:rowOff>95338</xdr:rowOff>
    </xdr:from>
    <xdr:to>
      <xdr:col>1</xdr:col>
      <xdr:colOff>293077</xdr:colOff>
      <xdr:row>4</xdr:row>
      <xdr:rowOff>140528</xdr:rowOff>
    </xdr:to>
    <xdr:pic>
      <xdr:nvPicPr>
        <xdr:cNvPr id="2" name="Imagen 1">
          <a:extLst>
            <a:ext uri="{FF2B5EF4-FFF2-40B4-BE49-F238E27FC236}">
              <a16:creationId xmlns:a16="http://schemas.microsoft.com/office/drawing/2014/main" id="{C7372A75-4D77-4ED6-9ED9-667D7356A42E}"/>
            </a:ext>
          </a:extLst>
        </xdr:cNvPr>
        <xdr:cNvPicPr>
          <a:picLocks noChangeAspect="1"/>
        </xdr:cNvPicPr>
      </xdr:nvPicPr>
      <xdr:blipFill>
        <a:blip xmlns:r="http://schemas.openxmlformats.org/officeDocument/2006/relationships" r:embed="rId2"/>
        <a:stretch>
          <a:fillRect/>
        </a:stretch>
      </xdr:blipFill>
      <xdr:spPr>
        <a:xfrm>
          <a:off x="92110" y="95338"/>
          <a:ext cx="1013209" cy="83231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69272</xdr:colOff>
      <xdr:row>0</xdr:row>
      <xdr:rowOff>146271</xdr:rowOff>
    </xdr:from>
    <xdr:to>
      <xdr:col>2</xdr:col>
      <xdr:colOff>96981</xdr:colOff>
      <xdr:row>4</xdr:row>
      <xdr:rowOff>54510</xdr:rowOff>
    </xdr:to>
    <xdr:pic>
      <xdr:nvPicPr>
        <xdr:cNvPr id="2" name="Imagen 1">
          <a:extLst>
            <a:ext uri="{FF2B5EF4-FFF2-40B4-BE49-F238E27FC236}">
              <a16:creationId xmlns:a16="http://schemas.microsoft.com/office/drawing/2014/main" id="{7514C6AE-6376-42CF-8805-4B8488B30268}"/>
            </a:ext>
          </a:extLst>
        </xdr:cNvPr>
        <xdr:cNvPicPr>
          <a:picLocks noChangeAspect="1"/>
        </xdr:cNvPicPr>
      </xdr:nvPicPr>
      <xdr:blipFill>
        <a:blip xmlns:r="http://schemas.openxmlformats.org/officeDocument/2006/relationships" r:embed="rId1"/>
        <a:stretch>
          <a:fillRect/>
        </a:stretch>
      </xdr:blipFill>
      <xdr:spPr>
        <a:xfrm>
          <a:off x="69272" y="146271"/>
          <a:ext cx="824345" cy="67716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114300</xdr:colOff>
      <xdr:row>0</xdr:row>
      <xdr:rowOff>127836</xdr:rowOff>
    </xdr:from>
    <xdr:to>
      <xdr:col>0</xdr:col>
      <xdr:colOff>990600</xdr:colOff>
      <xdr:row>4</xdr:row>
      <xdr:rowOff>76156</xdr:rowOff>
    </xdr:to>
    <xdr:pic>
      <xdr:nvPicPr>
        <xdr:cNvPr id="2" name="Imagen 1">
          <a:extLst>
            <a:ext uri="{FF2B5EF4-FFF2-40B4-BE49-F238E27FC236}">
              <a16:creationId xmlns:a16="http://schemas.microsoft.com/office/drawing/2014/main" id="{A892A637-F30E-48B0-8597-D7424C84F5CB}"/>
            </a:ext>
          </a:extLst>
        </xdr:cNvPr>
        <xdr:cNvPicPr>
          <a:picLocks noChangeAspect="1"/>
        </xdr:cNvPicPr>
      </xdr:nvPicPr>
      <xdr:blipFill>
        <a:blip xmlns:r="http://schemas.openxmlformats.org/officeDocument/2006/relationships" r:embed="rId1"/>
        <a:stretch>
          <a:fillRect/>
        </a:stretch>
      </xdr:blipFill>
      <xdr:spPr>
        <a:xfrm>
          <a:off x="114300" y="127836"/>
          <a:ext cx="876300" cy="71984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2" displayName="Tabla2" ref="B18:F168" totalsRowShown="0" headerRowDxfId="21" dataDxfId="20" tableBorderDxfId="19">
  <tableColumns count="5">
    <tableColumn id="1" xr3:uid="{00000000-0010-0000-0000-000001000000}" name="No." dataDxfId="18"/>
    <tableColumn id="2" xr3:uid="{00000000-0010-0000-0000-000002000000}" name="APELLIDO(S) NOMBRE(S)" dataDxfId="17"/>
    <tableColumn id="5" xr3:uid="{00000000-0010-0000-0000-000005000000}" name="No. CEDULA" dataDxfId="16"/>
    <tableColumn id="3" xr3:uid="{00000000-0010-0000-0000-000003000000}" name="APORTES" dataDxfId="15" dataCellStyle="Moneda"/>
    <tableColumn id="4" xr3:uid="{00000000-0010-0000-0000-000004000000}" name="No. Cuotas" dataDxfId="14" dataCellStyle="Moneda"/>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3" displayName="Tabla3" ref="H21:I37" totalsRowShown="0" headerRowDxfId="13" dataDxfId="11" headerRowBorderDxfId="12" tableBorderDxfId="10">
  <tableColumns count="2">
    <tableColumn id="1" xr3:uid="{00000000-0010-0000-0100-000001000000}" name="OTRAS ENTRADAS" dataDxfId="9"/>
    <tableColumn id="3" xr3:uid="{00000000-0010-0000-0100-000003000000}" name="CAJA" dataDxfId="8" dataCellStyle="Moneda"/>
  </tableColumns>
  <tableStyleInfo name="TableStyleMedium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a8" displayName="Tabla8" ref="K18:M76" totalsRowShown="0" headerRowDxfId="7" dataDxfId="5" headerRowBorderDxfId="6" tableBorderDxfId="4" totalsRowBorderDxfId="3">
  <tableColumns count="3">
    <tableColumn id="1" xr3:uid="{00000000-0010-0000-0200-000001000000}" name="FECHA" dataDxfId="2"/>
    <tableColumn id="2" xr3:uid="{00000000-0010-0000-0200-000002000000}" name="CONCEPTO" dataDxfId="1"/>
    <tableColumn id="4" xr3:uid="{00000000-0010-0000-0200-000004000000}" name="VALOR" dataDxfId="0" dataCellStyle="Moneda"/>
  </tableColumns>
  <tableStyleInfo name="TableStyleMedium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tabColor theme="7" tint="0.59999389629810485"/>
  </sheetPr>
  <dimension ref="A1:Q187"/>
  <sheetViews>
    <sheetView showGridLines="0" zoomScale="85" zoomScaleNormal="85" workbookViewId="0">
      <selection activeCell="B38" sqref="B38"/>
    </sheetView>
  </sheetViews>
  <sheetFormatPr baseColWidth="10" defaultColWidth="11.44140625" defaultRowHeight="14.4" x14ac:dyDescent="0.3"/>
  <cols>
    <col min="1" max="2" width="11.44140625" style="59"/>
    <col min="3" max="3" width="7.5546875" style="59" customWidth="1"/>
    <col min="4" max="4" width="12.5546875" style="59" bestFit="1" customWidth="1"/>
    <col min="5" max="13" width="11.44140625" style="59"/>
    <col min="14" max="14" width="11.88671875" style="59" bestFit="1" customWidth="1"/>
    <col min="15" max="16384" width="11.44140625" style="59"/>
  </cols>
  <sheetData>
    <row r="1" spans="1:17" x14ac:dyDescent="0.3">
      <c r="A1" s="60"/>
      <c r="B1" s="60"/>
      <c r="C1" s="60"/>
      <c r="D1" s="60"/>
      <c r="E1" s="60"/>
      <c r="F1" s="60"/>
      <c r="G1" s="60"/>
      <c r="H1" s="60"/>
      <c r="I1" s="60"/>
      <c r="J1" s="60"/>
      <c r="K1" s="60"/>
      <c r="L1" s="60"/>
      <c r="M1" s="60"/>
      <c r="N1" s="60"/>
      <c r="O1" s="60"/>
      <c r="P1" s="60"/>
      <c r="Q1" s="60"/>
    </row>
    <row r="2" spans="1:17" x14ac:dyDescent="0.3">
      <c r="A2" s="60"/>
      <c r="B2" s="60"/>
      <c r="C2" s="60"/>
      <c r="D2" s="60"/>
      <c r="E2" s="60"/>
      <c r="F2" s="60"/>
      <c r="G2" s="60"/>
      <c r="H2" s="60"/>
      <c r="I2" s="60"/>
      <c r="J2" s="60"/>
      <c r="K2" s="60"/>
      <c r="L2" s="60"/>
      <c r="M2" s="60"/>
      <c r="N2" s="60"/>
      <c r="O2" s="60"/>
      <c r="P2" s="60"/>
      <c r="Q2" s="60"/>
    </row>
    <row r="3" spans="1:17" x14ac:dyDescent="0.3">
      <c r="A3" s="60"/>
      <c r="B3" s="60"/>
      <c r="C3" s="60"/>
      <c r="D3" s="60"/>
      <c r="E3" s="60"/>
      <c r="F3" s="60"/>
      <c r="G3" s="60"/>
      <c r="H3" s="60"/>
      <c r="I3" s="60"/>
      <c r="J3" s="60"/>
      <c r="K3" s="60"/>
      <c r="L3" s="60"/>
      <c r="M3" s="60"/>
      <c r="N3" s="60"/>
      <c r="O3" s="60"/>
      <c r="P3" s="60"/>
      <c r="Q3" s="60"/>
    </row>
    <row r="4" spans="1:17" x14ac:dyDescent="0.3">
      <c r="A4" s="60"/>
      <c r="B4" s="60"/>
      <c r="C4" s="60"/>
      <c r="D4" s="60"/>
      <c r="E4" s="60"/>
      <c r="F4" s="60"/>
      <c r="G4" s="60"/>
      <c r="H4" s="60"/>
      <c r="I4" s="60"/>
      <c r="J4" s="60"/>
      <c r="K4" s="60"/>
      <c r="L4" s="60"/>
      <c r="M4" s="60"/>
      <c r="N4" s="60"/>
      <c r="O4" s="60"/>
      <c r="P4" s="60"/>
      <c r="Q4" s="60"/>
    </row>
    <row r="5" spans="1:17" x14ac:dyDescent="0.3">
      <c r="A5" s="60"/>
      <c r="B5" s="60"/>
      <c r="C5" s="60"/>
      <c r="D5" s="60"/>
      <c r="E5" s="60"/>
      <c r="F5" s="60"/>
      <c r="G5" s="60"/>
      <c r="H5" s="60"/>
      <c r="I5" s="60"/>
      <c r="J5" s="60"/>
      <c r="K5" s="60"/>
      <c r="L5" s="60"/>
      <c r="M5" s="60"/>
      <c r="N5" s="60"/>
      <c r="O5" s="60"/>
      <c r="P5" s="60"/>
      <c r="Q5" s="60"/>
    </row>
    <row r="6" spans="1:17" x14ac:dyDescent="0.3">
      <c r="A6" s="60"/>
      <c r="B6" s="60"/>
      <c r="C6" s="60"/>
      <c r="D6" s="60"/>
      <c r="E6" s="60"/>
      <c r="F6" s="60"/>
      <c r="G6" s="60"/>
      <c r="H6" s="60"/>
      <c r="I6" s="60"/>
      <c r="J6" s="60"/>
      <c r="K6" s="60"/>
      <c r="L6" s="60"/>
      <c r="M6" s="60"/>
      <c r="N6" s="60"/>
      <c r="O6" s="60"/>
      <c r="P6" s="60"/>
      <c r="Q6" s="60"/>
    </row>
    <row r="7" spans="1:17" x14ac:dyDescent="0.3">
      <c r="A7" s="60"/>
      <c r="B7" s="60"/>
      <c r="C7" s="60"/>
      <c r="D7" s="60"/>
      <c r="E7" s="60"/>
      <c r="F7" s="60"/>
      <c r="G7" s="60"/>
      <c r="H7" s="60"/>
      <c r="I7" s="60"/>
      <c r="J7" s="60"/>
      <c r="K7" s="60"/>
      <c r="L7" s="60"/>
      <c r="M7" s="60"/>
      <c r="N7" s="60"/>
      <c r="O7" s="60"/>
      <c r="P7" s="60"/>
      <c r="Q7" s="60"/>
    </row>
    <row r="8" spans="1:17" x14ac:dyDescent="0.3">
      <c r="A8" s="60"/>
      <c r="B8" s="61" t="s">
        <v>84</v>
      </c>
      <c r="C8" s="60"/>
      <c r="D8" s="60"/>
      <c r="E8" s="60"/>
      <c r="F8" s="60"/>
      <c r="G8" s="60"/>
      <c r="H8" s="60"/>
      <c r="I8" s="60"/>
      <c r="J8" s="60"/>
      <c r="K8" s="60"/>
      <c r="L8" s="60"/>
      <c r="M8" s="60"/>
      <c r="N8" s="60"/>
      <c r="O8" s="60"/>
      <c r="P8" s="60"/>
      <c r="Q8" s="60"/>
    </row>
    <row r="9" spans="1:17" x14ac:dyDescent="0.3">
      <c r="A9" s="60"/>
      <c r="B9" s="60"/>
      <c r="C9" s="60"/>
      <c r="D9" s="60"/>
      <c r="E9" s="60"/>
      <c r="F9" s="60"/>
      <c r="G9" s="60"/>
      <c r="H9" s="60"/>
      <c r="I9" s="60"/>
      <c r="J9" s="60"/>
      <c r="K9" s="60"/>
      <c r="L9" s="60"/>
      <c r="M9" s="60"/>
      <c r="N9" s="60"/>
      <c r="O9" s="60"/>
      <c r="P9" s="60"/>
      <c r="Q9" s="60"/>
    </row>
    <row r="10" spans="1:17" x14ac:dyDescent="0.3">
      <c r="A10" s="60"/>
      <c r="B10" s="60" t="s">
        <v>99</v>
      </c>
      <c r="C10" s="60"/>
      <c r="D10" s="60"/>
      <c r="E10" s="60"/>
      <c r="F10" s="60"/>
      <c r="G10" s="60"/>
      <c r="H10" s="60"/>
      <c r="I10" s="60"/>
      <c r="J10" s="60"/>
      <c r="K10" s="60"/>
      <c r="L10" s="60"/>
      <c r="M10" s="60"/>
      <c r="N10" s="60"/>
      <c r="O10" s="60"/>
      <c r="P10" s="60"/>
      <c r="Q10" s="60"/>
    </row>
    <row r="11" spans="1:17" x14ac:dyDescent="0.3">
      <c r="A11" s="60"/>
      <c r="B11" s="60" t="s">
        <v>102</v>
      </c>
      <c r="C11" s="60"/>
      <c r="D11" s="60"/>
      <c r="E11" s="60"/>
      <c r="F11" s="60"/>
      <c r="G11" s="60"/>
      <c r="H11" s="60"/>
      <c r="I11" s="60"/>
      <c r="J11" s="60"/>
      <c r="K11" s="60"/>
      <c r="L11" s="60"/>
      <c r="M11" s="60"/>
      <c r="N11" s="60"/>
      <c r="O11" s="60"/>
      <c r="P11" s="60"/>
      <c r="Q11" s="60"/>
    </row>
    <row r="12" spans="1:17" x14ac:dyDescent="0.3">
      <c r="A12" s="60"/>
      <c r="B12" s="60"/>
      <c r="C12" s="60"/>
      <c r="D12" s="60"/>
      <c r="E12" s="60"/>
      <c r="F12" s="60"/>
      <c r="G12" s="60"/>
      <c r="H12" s="60"/>
      <c r="I12" s="60"/>
      <c r="J12" s="60"/>
      <c r="K12" s="60"/>
      <c r="L12" s="60"/>
      <c r="M12" s="60"/>
      <c r="N12" s="60"/>
      <c r="O12" s="60"/>
      <c r="P12" s="60"/>
      <c r="Q12" s="60"/>
    </row>
    <row r="13" spans="1:17" x14ac:dyDescent="0.3">
      <c r="A13" s="60"/>
      <c r="B13" s="60"/>
      <c r="C13" s="60"/>
      <c r="D13" s="60"/>
      <c r="E13" s="60"/>
      <c r="F13" s="60"/>
      <c r="G13" s="60"/>
      <c r="H13" s="60"/>
      <c r="I13" s="60"/>
      <c r="J13" s="60"/>
      <c r="K13" s="60"/>
      <c r="L13" s="60"/>
      <c r="M13" s="60"/>
      <c r="N13" s="60"/>
      <c r="O13" s="60"/>
      <c r="P13" s="60"/>
      <c r="Q13" s="60"/>
    </row>
    <row r="14" spans="1:17" x14ac:dyDescent="0.3">
      <c r="A14" s="60"/>
      <c r="B14" s="60"/>
      <c r="C14" s="60"/>
      <c r="D14" s="60"/>
      <c r="E14" s="60"/>
      <c r="F14" s="60"/>
      <c r="G14" s="60"/>
      <c r="H14" s="60"/>
      <c r="I14" s="60"/>
      <c r="J14" s="60"/>
      <c r="K14" s="60"/>
      <c r="L14" s="60"/>
      <c r="M14" s="60"/>
      <c r="N14" s="60"/>
      <c r="O14" s="60"/>
      <c r="P14" s="60"/>
      <c r="Q14" s="60"/>
    </row>
    <row r="15" spans="1:17" x14ac:dyDescent="0.3">
      <c r="A15" s="60"/>
      <c r="B15" s="60"/>
      <c r="C15" s="60"/>
      <c r="D15" s="60" t="s">
        <v>108</v>
      </c>
      <c r="E15" s="60"/>
      <c r="F15" s="60"/>
      <c r="G15" s="60"/>
      <c r="H15" s="60"/>
      <c r="I15" s="60"/>
      <c r="J15" s="60"/>
      <c r="K15" s="60"/>
      <c r="L15" s="60"/>
      <c r="M15" s="60"/>
      <c r="N15" s="60"/>
      <c r="O15" s="60"/>
      <c r="P15" s="60"/>
      <c r="Q15" s="60"/>
    </row>
    <row r="16" spans="1:17" x14ac:dyDescent="0.3">
      <c r="A16" s="60"/>
      <c r="B16" s="60"/>
      <c r="C16" s="60"/>
      <c r="D16" s="60" t="s">
        <v>107</v>
      </c>
      <c r="E16" s="60"/>
      <c r="F16" s="60"/>
      <c r="G16" s="60"/>
      <c r="H16" s="60"/>
      <c r="I16" s="60"/>
      <c r="J16" s="60"/>
      <c r="K16" s="60"/>
      <c r="L16" s="60"/>
      <c r="M16" s="60"/>
      <c r="N16" s="60"/>
      <c r="O16" s="60"/>
      <c r="P16" s="60"/>
      <c r="Q16" s="60"/>
    </row>
    <row r="17" spans="1:17" x14ac:dyDescent="0.3">
      <c r="A17" s="60"/>
      <c r="B17" s="60"/>
      <c r="C17" s="60"/>
      <c r="D17" s="60"/>
      <c r="E17" s="60"/>
      <c r="F17" s="60"/>
      <c r="G17" s="60"/>
      <c r="H17" s="60"/>
      <c r="I17" s="60"/>
      <c r="J17" s="60"/>
      <c r="K17" s="60"/>
      <c r="L17" s="60"/>
      <c r="M17" s="60"/>
      <c r="N17" s="60"/>
      <c r="O17" s="60"/>
      <c r="P17" s="60"/>
      <c r="Q17" s="60"/>
    </row>
    <row r="18" spans="1:17" x14ac:dyDescent="0.3">
      <c r="A18" s="60"/>
      <c r="B18" s="60"/>
      <c r="C18" s="60"/>
      <c r="D18" s="60"/>
      <c r="E18" s="60"/>
      <c r="F18" s="60"/>
      <c r="G18" s="60"/>
      <c r="H18" s="60"/>
      <c r="I18" s="60"/>
      <c r="J18" s="60"/>
      <c r="K18" s="60"/>
      <c r="L18" s="60"/>
      <c r="M18" s="60"/>
      <c r="N18" s="60"/>
      <c r="O18" s="60"/>
      <c r="P18" s="60"/>
      <c r="Q18" s="60"/>
    </row>
    <row r="19" spans="1:17" x14ac:dyDescent="0.3">
      <c r="A19" s="60"/>
      <c r="B19" s="60"/>
      <c r="C19" s="60"/>
      <c r="D19" s="60"/>
      <c r="E19" s="60"/>
      <c r="F19" s="60"/>
      <c r="G19" s="60"/>
      <c r="H19" s="60"/>
      <c r="I19" s="60"/>
      <c r="J19" s="60"/>
      <c r="K19" s="60"/>
      <c r="L19" s="60"/>
      <c r="M19" s="60"/>
      <c r="N19" s="60"/>
      <c r="O19" s="60"/>
      <c r="P19" s="60"/>
      <c r="Q19" s="60"/>
    </row>
    <row r="20" spans="1:17" x14ac:dyDescent="0.3">
      <c r="A20" s="60"/>
      <c r="B20" s="60"/>
      <c r="C20" s="60"/>
      <c r="D20" s="60"/>
      <c r="E20" s="60"/>
      <c r="F20" s="60"/>
      <c r="G20" s="60"/>
      <c r="H20" s="60"/>
      <c r="I20" s="60"/>
      <c r="J20" s="60"/>
      <c r="K20" s="60"/>
      <c r="L20" s="60"/>
      <c r="M20" s="60"/>
      <c r="N20" s="60"/>
      <c r="O20" s="60"/>
      <c r="P20" s="60"/>
      <c r="Q20" s="60"/>
    </row>
    <row r="21" spans="1:17" x14ac:dyDescent="0.3">
      <c r="A21" s="60"/>
      <c r="B21" s="60"/>
      <c r="C21" s="60"/>
      <c r="D21" s="60"/>
      <c r="E21" s="60"/>
      <c r="F21" s="60"/>
      <c r="G21" s="60"/>
      <c r="H21" s="60"/>
      <c r="I21" s="60"/>
      <c r="J21" s="60"/>
      <c r="K21" s="60"/>
      <c r="L21" s="60"/>
      <c r="M21" s="60"/>
      <c r="N21" s="60"/>
      <c r="O21" s="60"/>
      <c r="P21" s="60"/>
      <c r="Q21" s="60"/>
    </row>
    <row r="22" spans="1:17" x14ac:dyDescent="0.3">
      <c r="A22" s="60"/>
      <c r="B22" s="60" t="s">
        <v>153</v>
      </c>
      <c r="C22" s="60"/>
      <c r="D22" s="60"/>
      <c r="E22" s="60"/>
      <c r="F22" s="60"/>
      <c r="G22" s="60"/>
      <c r="H22" s="60"/>
      <c r="I22" s="60"/>
      <c r="J22" s="60"/>
      <c r="K22" s="60"/>
      <c r="L22" s="60"/>
      <c r="M22" s="60"/>
      <c r="N22" s="60"/>
      <c r="O22" s="60"/>
      <c r="P22" s="60"/>
      <c r="Q22" s="60"/>
    </row>
    <row r="23" spans="1:17" x14ac:dyDescent="0.3">
      <c r="A23" s="60"/>
      <c r="B23" s="60"/>
      <c r="C23" s="60"/>
      <c r="D23" s="60"/>
      <c r="E23" s="60"/>
      <c r="F23" s="60"/>
      <c r="G23" s="60"/>
      <c r="H23" s="60"/>
      <c r="I23" s="60"/>
      <c r="J23" s="60"/>
      <c r="K23" s="60"/>
      <c r="L23" s="60"/>
      <c r="M23" s="60"/>
      <c r="N23" s="60"/>
      <c r="O23" s="60"/>
      <c r="P23" s="60"/>
      <c r="Q23" s="60"/>
    </row>
    <row r="24" spans="1:17" x14ac:dyDescent="0.3">
      <c r="A24" s="60"/>
      <c r="B24" s="60"/>
      <c r="C24" s="60"/>
      <c r="D24" s="60"/>
      <c r="E24" s="60"/>
      <c r="F24" s="60"/>
      <c r="G24" s="60"/>
      <c r="H24" s="60"/>
      <c r="I24" s="60"/>
      <c r="J24" s="60"/>
      <c r="K24" s="60"/>
      <c r="L24" s="60"/>
      <c r="M24" s="60"/>
      <c r="N24" s="60"/>
      <c r="O24" s="60"/>
      <c r="P24" s="60"/>
      <c r="Q24" s="60"/>
    </row>
    <row r="25" spans="1:17" x14ac:dyDescent="0.3">
      <c r="A25" s="60"/>
      <c r="B25" s="60"/>
      <c r="C25" s="60"/>
      <c r="D25" s="60"/>
      <c r="E25" s="60"/>
      <c r="F25" s="60"/>
      <c r="G25" s="60"/>
      <c r="H25" s="60"/>
      <c r="I25" s="60"/>
      <c r="J25" s="60"/>
      <c r="K25" s="60"/>
      <c r="L25" s="60"/>
      <c r="M25" s="60"/>
      <c r="N25" s="60"/>
      <c r="O25" s="60"/>
      <c r="P25" s="60"/>
      <c r="Q25" s="60"/>
    </row>
    <row r="26" spans="1:17" x14ac:dyDescent="0.3">
      <c r="A26" s="60"/>
      <c r="B26" s="66" t="s">
        <v>85</v>
      </c>
      <c r="C26" s="60"/>
      <c r="D26" s="60"/>
      <c r="E26" s="60"/>
      <c r="F26" s="60"/>
      <c r="G26" s="60"/>
      <c r="H26" s="60"/>
      <c r="I26" s="60"/>
      <c r="J26" s="60"/>
      <c r="K26" s="60"/>
      <c r="L26" s="60"/>
      <c r="M26" s="60"/>
      <c r="N26" s="60"/>
      <c r="O26" s="60"/>
      <c r="P26" s="60"/>
      <c r="Q26" s="60"/>
    </row>
    <row r="27" spans="1:17" x14ac:dyDescent="0.3">
      <c r="A27" s="60"/>
      <c r="B27" s="66"/>
      <c r="C27" s="60"/>
      <c r="D27" s="60"/>
      <c r="E27" s="60"/>
      <c r="F27" s="60"/>
      <c r="G27" s="60"/>
      <c r="H27" s="60"/>
      <c r="I27" s="60"/>
      <c r="J27" s="60"/>
      <c r="K27" s="60"/>
      <c r="L27" s="60"/>
      <c r="M27" s="60"/>
      <c r="N27" s="60"/>
      <c r="O27" s="60"/>
      <c r="P27" s="60"/>
      <c r="Q27" s="60"/>
    </row>
    <row r="28" spans="1:17" x14ac:dyDescent="0.3">
      <c r="A28" s="60"/>
      <c r="B28" s="60"/>
      <c r="C28" s="60"/>
      <c r="D28" s="60"/>
      <c r="E28" s="60"/>
      <c r="F28" s="60"/>
      <c r="G28" s="60"/>
      <c r="H28" s="60"/>
      <c r="I28" s="60"/>
      <c r="J28" s="60"/>
      <c r="K28" s="60"/>
      <c r="L28" s="60"/>
      <c r="M28" s="60"/>
      <c r="N28" s="60"/>
      <c r="O28" s="60"/>
      <c r="P28" s="60"/>
      <c r="Q28" s="60"/>
    </row>
    <row r="29" spans="1:17" x14ac:dyDescent="0.3">
      <c r="A29" s="60"/>
      <c r="B29" s="60"/>
      <c r="C29" s="60"/>
      <c r="D29" s="60" t="s">
        <v>154</v>
      </c>
      <c r="E29" s="60"/>
      <c r="F29" s="60"/>
      <c r="G29" s="60"/>
      <c r="H29" s="60"/>
      <c r="I29" s="60"/>
      <c r="J29" s="60"/>
      <c r="K29" s="60"/>
      <c r="L29" s="60"/>
      <c r="M29" s="60"/>
      <c r="N29" s="60"/>
      <c r="O29" s="60"/>
      <c r="P29" s="60"/>
      <c r="Q29" s="60"/>
    </row>
    <row r="30" spans="1:17" x14ac:dyDescent="0.3">
      <c r="A30" s="60"/>
      <c r="B30" s="60"/>
      <c r="C30" s="60"/>
      <c r="D30" s="60"/>
      <c r="E30" s="60"/>
      <c r="F30" s="60"/>
      <c r="G30" s="60"/>
      <c r="H30" s="60"/>
      <c r="I30" s="60"/>
      <c r="J30" s="60"/>
      <c r="K30" s="60"/>
      <c r="L30" s="60"/>
      <c r="M30" s="60"/>
      <c r="N30" s="60"/>
      <c r="O30" s="60"/>
      <c r="P30" s="60"/>
      <c r="Q30" s="60"/>
    </row>
    <row r="31" spans="1:17" x14ac:dyDescent="0.3">
      <c r="A31" s="60"/>
      <c r="B31" s="60"/>
      <c r="C31" s="60"/>
      <c r="D31" s="66" t="s">
        <v>93</v>
      </c>
      <c r="E31" s="66" t="s">
        <v>155</v>
      </c>
      <c r="F31" s="60"/>
      <c r="G31" s="60"/>
      <c r="H31" s="60"/>
      <c r="I31" s="60"/>
      <c r="J31" s="60"/>
      <c r="K31" s="60"/>
      <c r="L31" s="60"/>
      <c r="M31" s="60"/>
      <c r="N31" s="60"/>
      <c r="O31" s="60"/>
      <c r="P31" s="60"/>
      <c r="Q31" s="60"/>
    </row>
    <row r="32" spans="1:17" x14ac:dyDescent="0.3">
      <c r="A32" s="60"/>
      <c r="B32" s="60"/>
      <c r="C32" s="60"/>
      <c r="D32" s="60"/>
      <c r="E32" s="66" t="s">
        <v>156</v>
      </c>
      <c r="F32" s="60"/>
      <c r="G32" s="60"/>
      <c r="H32" s="60"/>
      <c r="I32" s="60"/>
      <c r="J32" s="60"/>
      <c r="K32" s="60"/>
      <c r="L32" s="60"/>
      <c r="M32" s="60"/>
      <c r="N32" s="60"/>
      <c r="O32" s="60"/>
      <c r="P32" s="60"/>
      <c r="Q32" s="60"/>
    </row>
    <row r="33" spans="1:17" x14ac:dyDescent="0.3">
      <c r="A33" s="60"/>
      <c r="B33" s="60"/>
      <c r="C33" s="60"/>
      <c r="D33" s="60"/>
      <c r="E33" s="66" t="s">
        <v>157</v>
      </c>
      <c r="F33" s="60"/>
      <c r="G33" s="60"/>
      <c r="H33" s="60"/>
      <c r="I33" s="60"/>
      <c r="J33" s="60"/>
      <c r="K33" s="60"/>
      <c r="L33" s="60"/>
      <c r="M33" s="60"/>
      <c r="N33" s="60"/>
      <c r="O33" s="60"/>
      <c r="P33" s="60"/>
      <c r="Q33" s="60"/>
    </row>
    <row r="34" spans="1:17" x14ac:dyDescent="0.3">
      <c r="A34" s="60"/>
      <c r="B34" s="60"/>
      <c r="C34" s="60"/>
      <c r="E34" s="66"/>
      <c r="F34" s="60"/>
      <c r="G34" s="60"/>
      <c r="H34" s="60"/>
      <c r="I34" s="60"/>
      <c r="J34" s="60"/>
      <c r="K34" s="60"/>
      <c r="L34" s="60"/>
      <c r="M34" s="60"/>
      <c r="N34" s="60"/>
      <c r="O34" s="60"/>
      <c r="P34" s="60"/>
      <c r="Q34" s="60"/>
    </row>
    <row r="35" spans="1:17" x14ac:dyDescent="0.3">
      <c r="A35" s="60"/>
      <c r="B35" s="60"/>
      <c r="C35" s="60"/>
      <c r="D35" s="60"/>
      <c r="E35" s="60"/>
      <c r="F35" s="60"/>
      <c r="G35" s="60"/>
      <c r="H35" s="60"/>
      <c r="I35" s="60"/>
      <c r="J35" s="60"/>
      <c r="K35" s="60"/>
      <c r="L35" s="60"/>
      <c r="M35" s="60"/>
      <c r="N35" s="60"/>
      <c r="O35" s="60"/>
      <c r="P35" s="60"/>
      <c r="Q35" s="60"/>
    </row>
    <row r="36" spans="1:17" x14ac:dyDescent="0.3">
      <c r="A36" s="60"/>
      <c r="B36" s="60"/>
      <c r="C36" s="60"/>
      <c r="D36" s="60" t="s">
        <v>187</v>
      </c>
      <c r="E36" s="60"/>
      <c r="F36" s="60"/>
      <c r="G36" s="60"/>
      <c r="H36" s="60"/>
      <c r="I36" s="60"/>
      <c r="J36" s="60"/>
      <c r="K36" s="60"/>
      <c r="L36" s="60"/>
      <c r="M36" s="60"/>
      <c r="N36" s="60"/>
      <c r="O36" s="60"/>
      <c r="P36" s="60"/>
      <c r="Q36" s="60"/>
    </row>
    <row r="37" spans="1:17" x14ac:dyDescent="0.3">
      <c r="A37" s="60"/>
      <c r="B37" s="60"/>
      <c r="C37" s="60"/>
      <c r="D37" s="60"/>
      <c r="E37" s="60"/>
      <c r="F37" s="60"/>
      <c r="G37" s="60"/>
      <c r="H37" s="60"/>
      <c r="I37" s="60"/>
      <c r="J37" s="60"/>
      <c r="K37" s="60"/>
      <c r="L37" s="60"/>
      <c r="M37" s="60"/>
      <c r="N37" s="60"/>
      <c r="O37" s="60"/>
      <c r="P37" s="60"/>
      <c r="Q37" s="60"/>
    </row>
    <row r="38" spans="1:17" x14ac:dyDescent="0.3">
      <c r="A38" s="60"/>
      <c r="B38" s="60"/>
      <c r="C38" s="60"/>
      <c r="D38" s="66" t="s">
        <v>93</v>
      </c>
      <c r="E38" s="66" t="s">
        <v>135</v>
      </c>
      <c r="F38" s="60"/>
      <c r="G38" s="60"/>
      <c r="H38" s="60"/>
      <c r="I38" s="60"/>
      <c r="J38" s="60"/>
      <c r="K38" s="60"/>
      <c r="L38" s="60"/>
      <c r="M38" s="60"/>
      <c r="N38" s="60"/>
      <c r="O38" s="60"/>
      <c r="P38" s="60"/>
      <c r="Q38" s="60"/>
    </row>
    <row r="39" spans="1:17" x14ac:dyDescent="0.3">
      <c r="A39" s="60"/>
      <c r="B39" s="60"/>
      <c r="C39" s="60"/>
      <c r="D39" s="60"/>
      <c r="E39" s="60"/>
      <c r="F39" s="60"/>
      <c r="G39" s="60"/>
      <c r="H39" s="60"/>
      <c r="I39" s="60"/>
      <c r="J39" s="60"/>
      <c r="K39" s="60"/>
      <c r="L39" s="60"/>
      <c r="M39" s="60"/>
      <c r="N39" s="60"/>
      <c r="O39" s="60"/>
      <c r="P39" s="60"/>
      <c r="Q39" s="60"/>
    </row>
    <row r="40" spans="1:17" x14ac:dyDescent="0.3">
      <c r="A40" s="60"/>
      <c r="B40" s="60"/>
      <c r="C40" s="60"/>
      <c r="D40" s="60"/>
      <c r="E40" s="60"/>
      <c r="F40" s="60"/>
      <c r="G40" s="60"/>
      <c r="H40" s="60"/>
      <c r="I40" s="60"/>
      <c r="J40" s="60"/>
      <c r="K40" s="60"/>
      <c r="L40" s="60"/>
      <c r="M40" s="60"/>
      <c r="N40" s="60"/>
      <c r="O40" s="60"/>
      <c r="P40" s="60"/>
      <c r="Q40" s="60"/>
    </row>
    <row r="41" spans="1:17" x14ac:dyDescent="0.3">
      <c r="A41" s="60"/>
      <c r="B41" s="60"/>
      <c r="C41" s="60"/>
      <c r="D41" s="60" t="s">
        <v>214</v>
      </c>
      <c r="E41" s="60"/>
      <c r="F41" s="60"/>
      <c r="G41" s="60"/>
      <c r="H41" s="60"/>
      <c r="I41" s="60"/>
      <c r="J41" s="60"/>
      <c r="K41" s="60"/>
      <c r="L41" s="60"/>
      <c r="M41" s="60"/>
      <c r="N41" s="60"/>
      <c r="O41" s="60"/>
      <c r="P41" s="60"/>
      <c r="Q41" s="60"/>
    </row>
    <row r="42" spans="1:17" x14ac:dyDescent="0.3">
      <c r="A42" s="60"/>
      <c r="B42" s="60"/>
      <c r="C42" s="60"/>
      <c r="D42" s="59" t="s">
        <v>165</v>
      </c>
      <c r="E42" s="60"/>
      <c r="F42" s="60"/>
      <c r="G42" s="60"/>
      <c r="H42" s="60"/>
      <c r="I42" s="60"/>
      <c r="J42" s="60"/>
      <c r="K42" s="60"/>
      <c r="L42" s="60"/>
      <c r="M42" s="60"/>
      <c r="N42" s="60"/>
      <c r="O42" s="60"/>
      <c r="P42" s="60"/>
      <c r="Q42" s="60"/>
    </row>
    <row r="43" spans="1:17" x14ac:dyDescent="0.3">
      <c r="A43" s="60"/>
      <c r="B43" s="60"/>
      <c r="C43" s="60"/>
      <c r="D43" s="60"/>
      <c r="E43" s="60"/>
      <c r="F43" s="60"/>
      <c r="G43" s="60"/>
      <c r="H43" s="60"/>
      <c r="I43" s="60"/>
      <c r="J43" s="60"/>
      <c r="K43" s="60"/>
      <c r="L43" s="60"/>
      <c r="M43" s="60"/>
      <c r="N43" s="60"/>
      <c r="O43" s="60"/>
      <c r="P43" s="60"/>
      <c r="Q43" s="60"/>
    </row>
    <row r="44" spans="1:17" x14ac:dyDescent="0.3">
      <c r="A44" s="60"/>
      <c r="B44" s="60"/>
      <c r="C44" s="60"/>
      <c r="Q44" s="60"/>
    </row>
    <row r="45" spans="1:17" x14ac:dyDescent="0.3">
      <c r="A45" s="60"/>
      <c r="B45" s="60"/>
      <c r="C45" s="60"/>
      <c r="D45" s="132" t="s">
        <v>188</v>
      </c>
      <c r="Q45" s="60"/>
    </row>
    <row r="46" spans="1:17" x14ac:dyDescent="0.3">
      <c r="A46" s="60"/>
      <c r="B46" s="60"/>
      <c r="C46" s="60"/>
      <c r="Q46" s="60"/>
    </row>
    <row r="47" spans="1:17" x14ac:dyDescent="0.3">
      <c r="A47" s="60"/>
      <c r="B47" s="60"/>
      <c r="C47" s="60"/>
      <c r="D47" s="60"/>
      <c r="E47" s="60"/>
      <c r="F47" s="60"/>
      <c r="G47" s="60"/>
      <c r="H47" s="60"/>
      <c r="I47" s="60"/>
      <c r="J47" s="60"/>
      <c r="K47" s="60"/>
      <c r="L47" s="60"/>
      <c r="M47" s="60"/>
      <c r="N47" s="60"/>
      <c r="O47" s="60"/>
      <c r="P47" s="60"/>
      <c r="Q47" s="60"/>
    </row>
    <row r="48" spans="1:17" x14ac:dyDescent="0.3">
      <c r="A48" s="60"/>
      <c r="B48" s="60"/>
      <c r="C48" s="60"/>
      <c r="D48" s="60" t="s">
        <v>92</v>
      </c>
      <c r="E48" s="60"/>
      <c r="F48" s="60"/>
      <c r="G48" s="60"/>
      <c r="H48" s="60"/>
      <c r="I48" s="60"/>
      <c r="J48" s="60"/>
      <c r="K48" s="60"/>
      <c r="L48" s="60"/>
      <c r="M48" s="60"/>
      <c r="N48" s="60"/>
      <c r="O48" s="60"/>
      <c r="P48" s="60"/>
      <c r="Q48" s="60"/>
    </row>
    <row r="49" spans="1:17" x14ac:dyDescent="0.3">
      <c r="A49" s="60"/>
      <c r="B49" s="60"/>
      <c r="C49" s="60"/>
      <c r="D49" s="60" t="s">
        <v>91</v>
      </c>
      <c r="E49" s="60"/>
      <c r="F49" s="60"/>
      <c r="G49" s="60"/>
      <c r="H49" s="60"/>
      <c r="I49" s="60"/>
      <c r="J49" s="60"/>
      <c r="K49" s="60"/>
      <c r="L49" s="60"/>
      <c r="M49" s="60"/>
      <c r="N49" s="60"/>
      <c r="O49" s="60"/>
      <c r="P49" s="60"/>
      <c r="Q49" s="60"/>
    </row>
    <row r="50" spans="1:17" x14ac:dyDescent="0.3">
      <c r="A50" s="60"/>
      <c r="B50" s="60"/>
      <c r="C50" s="60"/>
      <c r="D50" s="60"/>
      <c r="E50" s="60"/>
      <c r="F50" s="60"/>
      <c r="G50" s="60"/>
      <c r="H50" s="60"/>
      <c r="I50" s="60"/>
      <c r="J50" s="60"/>
      <c r="K50" s="60"/>
      <c r="L50" s="60"/>
      <c r="M50" s="60"/>
      <c r="N50" s="60"/>
      <c r="O50" s="60"/>
      <c r="P50" s="60"/>
      <c r="Q50" s="60"/>
    </row>
    <row r="51" spans="1:17" ht="15.6" x14ac:dyDescent="0.3">
      <c r="A51" s="60"/>
      <c r="B51" s="60"/>
      <c r="C51" s="60"/>
      <c r="D51" s="64" t="s">
        <v>94</v>
      </c>
      <c r="E51" s="60" t="s">
        <v>100</v>
      </c>
      <c r="F51" s="60"/>
      <c r="G51" s="60"/>
      <c r="H51" s="60"/>
      <c r="I51" s="60"/>
      <c r="J51" s="60"/>
      <c r="K51" s="60"/>
      <c r="L51" s="60"/>
      <c r="M51" s="60"/>
      <c r="N51" s="60"/>
      <c r="O51" s="60"/>
      <c r="P51" s="60"/>
      <c r="Q51" s="60"/>
    </row>
    <row r="52" spans="1:17" x14ac:dyDescent="0.3">
      <c r="A52" s="60"/>
      <c r="B52" s="60"/>
      <c r="C52" s="60"/>
      <c r="D52" s="60"/>
      <c r="E52" s="60" t="s">
        <v>101</v>
      </c>
      <c r="F52" s="60"/>
      <c r="G52" s="60"/>
      <c r="H52" s="60"/>
      <c r="I52" s="60"/>
      <c r="J52" s="60"/>
      <c r="K52" s="60"/>
      <c r="L52" s="60"/>
      <c r="M52" s="60"/>
      <c r="N52" s="60"/>
      <c r="O52" s="60"/>
      <c r="P52" s="60"/>
      <c r="Q52" s="60"/>
    </row>
    <row r="53" spans="1:17" x14ac:dyDescent="0.3">
      <c r="A53" s="60"/>
      <c r="B53" s="60"/>
      <c r="C53" s="60"/>
      <c r="D53" s="60"/>
      <c r="E53" s="60" t="s">
        <v>142</v>
      </c>
      <c r="F53" s="60"/>
      <c r="G53" s="60"/>
      <c r="H53" s="60"/>
      <c r="I53" s="60"/>
      <c r="J53" s="60"/>
      <c r="K53" s="60"/>
      <c r="L53" s="60"/>
      <c r="M53" s="60"/>
      <c r="N53" s="60"/>
      <c r="O53" s="60"/>
      <c r="P53" s="60"/>
      <c r="Q53" s="60"/>
    </row>
    <row r="54" spans="1:17" x14ac:dyDescent="0.3">
      <c r="A54" s="60"/>
      <c r="B54" s="60"/>
      <c r="C54" s="60"/>
      <c r="D54" s="60"/>
      <c r="E54" s="60"/>
      <c r="F54" s="60"/>
      <c r="G54" s="60"/>
      <c r="H54" s="60"/>
      <c r="I54" s="60"/>
      <c r="J54" s="60"/>
      <c r="K54" s="60"/>
      <c r="L54" s="60"/>
      <c r="M54" s="60"/>
      <c r="N54" s="60"/>
      <c r="O54" s="60"/>
      <c r="P54" s="60"/>
      <c r="Q54" s="60"/>
    </row>
    <row r="55" spans="1:17" x14ac:dyDescent="0.3">
      <c r="A55" s="60"/>
      <c r="B55" s="60"/>
      <c r="C55" s="60"/>
      <c r="D55" s="60"/>
      <c r="E55" s="60"/>
      <c r="F55" s="60"/>
      <c r="G55" s="60"/>
      <c r="H55" s="60"/>
      <c r="I55" s="60"/>
      <c r="J55" s="60"/>
      <c r="K55" s="60"/>
      <c r="L55" s="60"/>
      <c r="M55" s="60"/>
      <c r="N55" s="60"/>
      <c r="O55" s="60"/>
      <c r="P55" s="60"/>
      <c r="Q55" s="60"/>
    </row>
    <row r="56" spans="1:17" x14ac:dyDescent="0.3">
      <c r="A56" s="60"/>
      <c r="B56" s="60"/>
      <c r="C56" s="60"/>
      <c r="D56" s="60"/>
      <c r="E56" s="60" t="s">
        <v>194</v>
      </c>
      <c r="F56" s="60"/>
      <c r="G56" s="60"/>
      <c r="H56" s="60"/>
      <c r="I56" s="60"/>
      <c r="J56" s="60"/>
      <c r="K56" s="60"/>
      <c r="L56" s="60"/>
      <c r="M56" s="60"/>
      <c r="N56" s="60"/>
      <c r="O56" s="60"/>
      <c r="P56" s="60"/>
      <c r="Q56" s="60"/>
    </row>
    <row r="57" spans="1:17" ht="15.6" x14ac:dyDescent="0.3">
      <c r="A57" s="60"/>
      <c r="B57" s="60"/>
      <c r="C57" s="60"/>
      <c r="D57" s="60"/>
      <c r="E57" s="64" t="s">
        <v>195</v>
      </c>
      <c r="F57" s="60"/>
      <c r="G57" s="60"/>
      <c r="H57" s="60"/>
      <c r="I57" s="60"/>
      <c r="J57" s="60"/>
      <c r="K57" s="60"/>
      <c r="L57" s="60"/>
      <c r="M57" s="60"/>
      <c r="N57" s="60"/>
      <c r="O57" s="60"/>
      <c r="P57" s="60"/>
      <c r="Q57" s="60"/>
    </row>
    <row r="58" spans="1:17" x14ac:dyDescent="0.3">
      <c r="A58" s="60"/>
      <c r="B58" s="60"/>
      <c r="C58" s="60"/>
      <c r="D58" s="60"/>
      <c r="E58" s="66" t="s">
        <v>93</v>
      </c>
      <c r="F58" s="60" t="s">
        <v>164</v>
      </c>
      <c r="G58" s="60"/>
      <c r="H58" s="60"/>
      <c r="I58" s="60"/>
      <c r="J58" s="60"/>
      <c r="K58" s="60"/>
      <c r="L58" s="60"/>
      <c r="M58" s="60"/>
      <c r="N58" s="60"/>
      <c r="O58" s="60"/>
      <c r="P58" s="60"/>
      <c r="Q58" s="60"/>
    </row>
    <row r="59" spans="1:17" x14ac:dyDescent="0.3">
      <c r="A59" s="60"/>
      <c r="B59" s="60"/>
      <c r="C59" s="60"/>
      <c r="M59" s="60"/>
      <c r="N59" s="60"/>
      <c r="O59" s="60"/>
      <c r="P59" s="60"/>
      <c r="Q59" s="60"/>
    </row>
    <row r="60" spans="1:17" ht="15.6" x14ac:dyDescent="0.3">
      <c r="A60" s="60"/>
      <c r="B60" s="60"/>
      <c r="C60" s="60"/>
      <c r="D60" s="64" t="s">
        <v>161</v>
      </c>
      <c r="E60" s="60"/>
      <c r="F60" s="60"/>
      <c r="G60" s="60"/>
      <c r="H60" s="60"/>
      <c r="I60" s="60"/>
      <c r="J60" s="60"/>
      <c r="K60" s="60"/>
      <c r="L60" s="60"/>
      <c r="M60" s="60"/>
      <c r="N60" s="60"/>
      <c r="O60" s="60"/>
      <c r="P60" s="60"/>
      <c r="Q60" s="60"/>
    </row>
    <row r="61" spans="1:17" ht="15.6" x14ac:dyDescent="0.3">
      <c r="A61" s="60"/>
      <c r="B61" s="60"/>
      <c r="C61" s="60"/>
      <c r="E61" s="64"/>
      <c r="F61" s="60"/>
      <c r="G61" s="60"/>
      <c r="H61" s="60"/>
      <c r="I61" s="60"/>
      <c r="J61" s="60"/>
      <c r="K61" s="60"/>
      <c r="L61" s="60"/>
      <c r="M61" s="60"/>
      <c r="N61" s="60"/>
      <c r="O61" s="60"/>
      <c r="P61" s="60"/>
      <c r="Q61" s="60"/>
    </row>
    <row r="62" spans="1:17" x14ac:dyDescent="0.3">
      <c r="A62" s="60"/>
      <c r="B62" s="60"/>
      <c r="C62" s="60"/>
      <c r="D62" s="62" t="s">
        <v>139</v>
      </c>
      <c r="E62" s="62"/>
      <c r="F62" s="62"/>
      <c r="G62" s="62"/>
      <c r="H62" s="62" t="s">
        <v>87</v>
      </c>
      <c r="I62" s="62"/>
      <c r="J62" s="62"/>
      <c r="K62" s="62" t="s">
        <v>141</v>
      </c>
      <c r="L62" s="62"/>
      <c r="M62" s="62"/>
      <c r="N62" s="62" t="s">
        <v>89</v>
      </c>
      <c r="O62" s="63"/>
      <c r="P62" s="60"/>
      <c r="Q62" s="60"/>
    </row>
    <row r="63" spans="1:17" x14ac:dyDescent="0.3">
      <c r="A63" s="60"/>
      <c r="B63" s="60"/>
      <c r="C63" s="60"/>
      <c r="D63" s="62" t="s">
        <v>86</v>
      </c>
      <c r="E63" s="62"/>
      <c r="F63" s="62"/>
      <c r="G63" s="62"/>
      <c r="H63" s="62" t="s">
        <v>88</v>
      </c>
      <c r="I63" s="62"/>
      <c r="J63" s="62"/>
      <c r="K63" s="62" t="s">
        <v>159</v>
      </c>
      <c r="L63" s="62"/>
      <c r="M63" s="62"/>
      <c r="N63" s="62" t="s">
        <v>189</v>
      </c>
      <c r="O63" s="63"/>
      <c r="P63" s="60"/>
      <c r="Q63" s="60"/>
    </row>
    <row r="64" spans="1:17" x14ac:dyDescent="0.3">
      <c r="A64" s="60"/>
      <c r="B64" s="60"/>
      <c r="C64" s="60"/>
      <c r="D64" s="62" t="s">
        <v>162</v>
      </c>
      <c r="E64" s="62"/>
      <c r="F64" s="62"/>
      <c r="G64" s="62"/>
      <c r="H64" s="62" t="s">
        <v>90</v>
      </c>
      <c r="I64" s="62"/>
      <c r="J64" s="62"/>
      <c r="K64" s="62" t="s">
        <v>140</v>
      </c>
      <c r="L64" s="62"/>
      <c r="M64" s="62"/>
      <c r="N64" s="62" t="s">
        <v>158</v>
      </c>
      <c r="O64" s="63"/>
      <c r="P64" s="60"/>
      <c r="Q64" s="60"/>
    </row>
    <row r="65" spans="1:17" x14ac:dyDescent="0.3">
      <c r="A65" s="60"/>
      <c r="B65" s="60"/>
      <c r="C65" s="60"/>
      <c r="D65" s="66" t="s">
        <v>160</v>
      </c>
      <c r="E65" s="60"/>
      <c r="F65" s="60"/>
      <c r="G65" s="60"/>
      <c r="H65" s="132" t="s">
        <v>196</v>
      </c>
      <c r="I65" s="60"/>
      <c r="J65" s="60"/>
      <c r="K65" s="60"/>
      <c r="L65" s="60"/>
      <c r="M65" s="60"/>
      <c r="N65" s="60"/>
      <c r="O65" s="60"/>
      <c r="P65" s="60"/>
      <c r="Q65" s="60"/>
    </row>
    <row r="66" spans="1:17" x14ac:dyDescent="0.3">
      <c r="A66" s="60"/>
      <c r="B66" s="60"/>
      <c r="C66" s="60"/>
      <c r="D66" s="66"/>
      <c r="E66" s="60"/>
      <c r="F66" s="60"/>
      <c r="G66" s="60"/>
      <c r="H66" s="60"/>
      <c r="I66" s="60"/>
      <c r="J66" s="60"/>
      <c r="K66" s="60"/>
      <c r="L66" s="60"/>
      <c r="M66" s="60"/>
      <c r="N66" s="60"/>
      <c r="O66" s="60"/>
      <c r="P66" s="60"/>
      <c r="Q66" s="60"/>
    </row>
    <row r="67" spans="1:17" x14ac:dyDescent="0.3">
      <c r="A67" s="60"/>
      <c r="B67" s="60"/>
      <c r="C67" s="60"/>
      <c r="D67" s="60"/>
      <c r="E67" s="60"/>
      <c r="F67" s="60"/>
      <c r="G67" s="60"/>
      <c r="H67" s="60"/>
      <c r="I67" s="60"/>
      <c r="J67" s="60"/>
      <c r="K67" s="60"/>
      <c r="L67" s="60"/>
      <c r="M67" s="60"/>
      <c r="N67" s="60"/>
      <c r="O67" s="60"/>
      <c r="P67" s="60"/>
      <c r="Q67" s="60"/>
    </row>
    <row r="68" spans="1:17" ht="25.8" x14ac:dyDescent="0.5">
      <c r="A68" s="133" t="s">
        <v>95</v>
      </c>
      <c r="C68" s="60"/>
      <c r="D68" s="60" t="s">
        <v>122</v>
      </c>
      <c r="E68" s="60"/>
      <c r="F68" s="60"/>
      <c r="G68" s="60"/>
      <c r="H68" s="60"/>
      <c r="I68" s="60"/>
      <c r="J68" s="60"/>
      <c r="K68" s="60"/>
      <c r="L68" s="60"/>
      <c r="M68" s="60"/>
      <c r="N68" s="60"/>
      <c r="O68" s="60"/>
      <c r="P68" s="60"/>
      <c r="Q68" s="60"/>
    </row>
    <row r="69" spans="1:17" x14ac:dyDescent="0.3">
      <c r="A69" s="60"/>
      <c r="B69" s="60"/>
      <c r="C69" s="60"/>
      <c r="D69" s="60" t="s">
        <v>179</v>
      </c>
      <c r="E69" s="60"/>
      <c r="F69" s="60"/>
      <c r="G69" s="60"/>
      <c r="H69" s="60"/>
      <c r="I69" s="60"/>
      <c r="J69" s="60"/>
      <c r="K69" s="60"/>
      <c r="L69" s="60"/>
      <c r="M69" s="60"/>
      <c r="N69" s="60"/>
      <c r="O69" s="60"/>
      <c r="P69" s="60"/>
      <c r="Q69" s="60"/>
    </row>
    <row r="70" spans="1:17" x14ac:dyDescent="0.3">
      <c r="A70" s="60"/>
      <c r="B70" s="60"/>
      <c r="C70" s="60"/>
      <c r="D70" s="60"/>
      <c r="E70" s="60"/>
      <c r="F70" s="60"/>
      <c r="G70" s="60"/>
      <c r="H70" s="60"/>
      <c r="I70" s="60"/>
      <c r="J70" s="60"/>
      <c r="K70" s="60"/>
      <c r="L70" s="60"/>
      <c r="M70" s="60"/>
      <c r="N70" s="60"/>
      <c r="O70" s="60"/>
      <c r="P70" s="60"/>
      <c r="Q70" s="60"/>
    </row>
    <row r="71" spans="1:17" x14ac:dyDescent="0.3">
      <c r="A71" s="60"/>
      <c r="B71" s="60"/>
      <c r="C71" s="60"/>
      <c r="D71" s="62" t="s">
        <v>96</v>
      </c>
      <c r="E71" s="63"/>
      <c r="F71" s="63"/>
      <c r="G71" s="63"/>
      <c r="H71" s="63"/>
      <c r="I71" s="63"/>
      <c r="J71" s="63"/>
      <c r="K71" s="63"/>
      <c r="L71" s="63"/>
      <c r="M71" s="63"/>
      <c r="N71" s="63"/>
      <c r="O71" s="63"/>
      <c r="P71" s="63"/>
      <c r="Q71" s="60"/>
    </row>
    <row r="72" spans="1:17" x14ac:dyDescent="0.3">
      <c r="A72" s="60"/>
      <c r="B72" s="60"/>
      <c r="C72" s="60"/>
      <c r="D72" s="62" t="s">
        <v>113</v>
      </c>
      <c r="E72" s="63"/>
      <c r="F72" s="63"/>
      <c r="G72" s="63"/>
      <c r="H72" s="63"/>
      <c r="I72" s="63"/>
      <c r="J72" s="63"/>
      <c r="K72" s="63"/>
      <c r="L72" s="63"/>
      <c r="M72" s="63"/>
      <c r="N72" s="63"/>
      <c r="O72" s="63"/>
      <c r="P72" s="63"/>
      <c r="Q72" s="60"/>
    </row>
    <row r="73" spans="1:17" x14ac:dyDescent="0.3">
      <c r="A73" s="60"/>
      <c r="B73" s="60"/>
      <c r="C73" s="60"/>
      <c r="D73" s="62" t="s">
        <v>98</v>
      </c>
      <c r="E73" s="63"/>
      <c r="F73" s="63"/>
      <c r="G73" s="63"/>
      <c r="H73" s="63"/>
      <c r="I73" s="63"/>
      <c r="J73" s="63"/>
      <c r="K73" s="63"/>
      <c r="L73" s="63"/>
      <c r="M73" s="63"/>
      <c r="N73" s="63"/>
      <c r="O73" s="63"/>
      <c r="P73" s="63"/>
      <c r="Q73" s="60"/>
    </row>
    <row r="74" spans="1:17" x14ac:dyDescent="0.3">
      <c r="A74" s="60"/>
      <c r="B74" s="60"/>
      <c r="C74" s="60"/>
      <c r="D74" s="62" t="s">
        <v>123</v>
      </c>
      <c r="E74" s="63"/>
      <c r="F74" s="63"/>
      <c r="G74" s="63"/>
      <c r="H74" s="63"/>
      <c r="I74" s="63"/>
      <c r="J74" s="63"/>
      <c r="K74" s="63"/>
      <c r="L74" s="63"/>
      <c r="M74" s="63"/>
      <c r="N74" s="63"/>
      <c r="O74" s="63"/>
      <c r="P74" s="63"/>
      <c r="Q74" s="60"/>
    </row>
    <row r="75" spans="1:17" x14ac:dyDescent="0.3">
      <c r="A75" s="60"/>
      <c r="B75" s="60"/>
      <c r="C75" s="60"/>
      <c r="D75" s="62"/>
      <c r="E75" s="63"/>
      <c r="F75" s="63"/>
      <c r="G75" s="63"/>
      <c r="H75" s="63"/>
      <c r="I75" s="63"/>
      <c r="J75" s="63"/>
      <c r="K75" s="63"/>
      <c r="L75" s="63"/>
      <c r="M75" s="63"/>
      <c r="N75" s="63"/>
      <c r="O75" s="63"/>
      <c r="P75" s="63"/>
      <c r="Q75" s="60"/>
    </row>
    <row r="76" spans="1:17" x14ac:dyDescent="0.3">
      <c r="A76" s="60"/>
      <c r="B76" s="60"/>
      <c r="C76" s="60"/>
      <c r="D76" s="62"/>
      <c r="E76" s="63"/>
      <c r="F76" s="63"/>
      <c r="G76" s="63"/>
      <c r="H76" s="63"/>
      <c r="I76" s="63"/>
      <c r="J76" s="63"/>
      <c r="K76" s="63"/>
      <c r="L76" s="63"/>
      <c r="M76" s="63"/>
      <c r="N76" s="63"/>
      <c r="O76" s="63"/>
      <c r="P76" s="63"/>
      <c r="Q76" s="60"/>
    </row>
    <row r="77" spans="1:17" x14ac:dyDescent="0.3">
      <c r="A77" s="60"/>
      <c r="B77" s="60"/>
      <c r="C77" s="60"/>
      <c r="D77" s="63" t="s">
        <v>163</v>
      </c>
      <c r="E77" s="63"/>
      <c r="F77" s="63"/>
      <c r="G77" s="63"/>
      <c r="H77" s="63"/>
      <c r="I77" s="63"/>
      <c r="J77" s="63"/>
      <c r="K77" s="63"/>
      <c r="L77" s="63"/>
      <c r="M77" s="63"/>
      <c r="N77" s="63"/>
      <c r="O77" s="63"/>
      <c r="P77" s="63"/>
      <c r="Q77" s="60"/>
    </row>
    <row r="78" spans="1:17" x14ac:dyDescent="0.3">
      <c r="A78" s="60"/>
      <c r="B78" s="60"/>
      <c r="C78" s="60"/>
      <c r="E78" s="63"/>
      <c r="F78" s="63"/>
      <c r="G78" s="63"/>
      <c r="H78" s="63"/>
      <c r="I78" s="63"/>
      <c r="J78" s="63"/>
      <c r="K78" s="63"/>
      <c r="L78" s="63"/>
      <c r="M78" s="63"/>
      <c r="N78" s="63"/>
      <c r="O78" s="63"/>
      <c r="P78" s="63"/>
      <c r="Q78" s="60"/>
    </row>
    <row r="79" spans="1:17" x14ac:dyDescent="0.3">
      <c r="A79" s="60"/>
      <c r="B79" s="60"/>
      <c r="C79" s="60"/>
      <c r="D79" s="63" t="s">
        <v>192</v>
      </c>
      <c r="E79" s="63"/>
      <c r="F79" s="63"/>
      <c r="G79" s="63"/>
      <c r="H79" s="63"/>
      <c r="I79" s="63"/>
      <c r="J79" s="63"/>
      <c r="K79" s="63"/>
      <c r="L79" s="63"/>
      <c r="M79" s="63"/>
      <c r="N79" s="63"/>
      <c r="O79" s="63"/>
      <c r="P79" s="63"/>
      <c r="Q79" s="60"/>
    </row>
    <row r="80" spans="1:17" x14ac:dyDescent="0.3">
      <c r="A80" s="60"/>
      <c r="B80" s="60"/>
      <c r="C80" s="60"/>
      <c r="D80" s="60" t="s">
        <v>193</v>
      </c>
      <c r="E80" s="60"/>
      <c r="F80" s="60"/>
      <c r="G80" s="60"/>
      <c r="H80" s="60"/>
      <c r="I80" s="60"/>
      <c r="J80" s="60"/>
      <c r="K80" s="60"/>
      <c r="L80" s="60"/>
      <c r="M80" s="60"/>
      <c r="N80" s="60"/>
      <c r="O80" s="60"/>
      <c r="P80" s="60"/>
      <c r="Q80" s="60"/>
    </row>
    <row r="81" spans="1:17" x14ac:dyDescent="0.3">
      <c r="A81" s="60"/>
      <c r="B81" s="60"/>
      <c r="C81" s="60"/>
      <c r="D81" s="60"/>
      <c r="E81" s="60"/>
      <c r="F81" s="60"/>
      <c r="G81" s="60"/>
      <c r="H81" s="60"/>
      <c r="I81" s="60"/>
      <c r="J81" s="60"/>
      <c r="K81" s="60"/>
      <c r="L81" s="60"/>
      <c r="M81" s="60"/>
      <c r="N81" s="60"/>
      <c r="O81" s="60"/>
      <c r="P81" s="60"/>
      <c r="Q81" s="60"/>
    </row>
    <row r="82" spans="1:17" x14ac:dyDescent="0.3">
      <c r="A82" s="60"/>
      <c r="B82" s="60"/>
      <c r="C82" s="60"/>
      <c r="D82" s="60"/>
      <c r="E82" s="60"/>
      <c r="F82" s="60"/>
      <c r="G82" s="60"/>
      <c r="H82" s="60"/>
      <c r="I82" s="60"/>
      <c r="J82" s="60"/>
      <c r="K82" s="60"/>
      <c r="L82" s="60"/>
      <c r="M82" s="60"/>
      <c r="N82" s="60"/>
      <c r="O82" s="60"/>
      <c r="P82" s="60"/>
      <c r="Q82" s="60"/>
    </row>
    <row r="83" spans="1:17" x14ac:dyDescent="0.3">
      <c r="A83" s="60"/>
      <c r="B83" s="60"/>
      <c r="C83" s="60"/>
      <c r="D83" s="60"/>
      <c r="E83" s="60"/>
      <c r="F83" s="60"/>
      <c r="G83" s="60"/>
      <c r="H83" s="60"/>
      <c r="I83" s="60"/>
      <c r="J83" s="60"/>
      <c r="K83" s="60"/>
      <c r="L83" s="60"/>
      <c r="M83" s="60"/>
      <c r="N83" s="60"/>
      <c r="O83" s="60"/>
      <c r="P83" s="60"/>
      <c r="Q83" s="60"/>
    </row>
    <row r="84" spans="1:17" x14ac:dyDescent="0.3">
      <c r="A84" s="60"/>
      <c r="B84" s="60"/>
      <c r="C84" s="60"/>
      <c r="D84" s="60"/>
      <c r="E84" s="60"/>
      <c r="F84" s="60"/>
      <c r="G84" s="60"/>
      <c r="H84" s="60"/>
      <c r="I84" s="60"/>
      <c r="J84" s="60"/>
      <c r="K84" s="60"/>
      <c r="L84" s="60"/>
      <c r="M84" s="60"/>
      <c r="N84" s="60"/>
      <c r="O84" s="60"/>
      <c r="P84" s="60"/>
      <c r="Q84" s="60"/>
    </row>
    <row r="85" spans="1:17" x14ac:dyDescent="0.3">
      <c r="A85" s="60"/>
      <c r="B85" s="60" t="s">
        <v>218</v>
      </c>
      <c r="C85" s="60"/>
      <c r="D85" s="60"/>
      <c r="E85" s="60"/>
      <c r="F85" s="60"/>
      <c r="G85" s="60"/>
      <c r="H85" s="60"/>
      <c r="I85" s="60"/>
      <c r="J85" s="60"/>
      <c r="K85" s="60"/>
      <c r="L85" s="60"/>
      <c r="M85" s="60"/>
      <c r="N85" s="60"/>
      <c r="O85" s="60"/>
      <c r="P85" s="60"/>
      <c r="Q85" s="60"/>
    </row>
    <row r="86" spans="1:17" x14ac:dyDescent="0.3">
      <c r="A86" s="60"/>
      <c r="B86" s="60" t="s">
        <v>219</v>
      </c>
      <c r="C86" s="60"/>
      <c r="D86" s="60" t="s">
        <v>8</v>
      </c>
      <c r="E86" s="60"/>
      <c r="F86" s="60"/>
      <c r="G86" s="60"/>
      <c r="H86" s="60"/>
      <c r="I86" s="60"/>
      <c r="J86" s="60"/>
      <c r="K86" s="60"/>
      <c r="L86" s="60"/>
      <c r="M86" s="60"/>
      <c r="N86" s="60"/>
      <c r="O86" s="60"/>
      <c r="P86" s="60"/>
      <c r="Q86" s="60"/>
    </row>
    <row r="87" spans="1:17" x14ac:dyDescent="0.3">
      <c r="A87" s="60"/>
      <c r="B87" s="60" t="s">
        <v>220</v>
      </c>
      <c r="C87" s="60"/>
      <c r="D87" s="60"/>
      <c r="E87" s="60"/>
      <c r="F87" s="60"/>
      <c r="G87" s="60"/>
      <c r="H87" s="60"/>
      <c r="I87" s="60"/>
      <c r="J87" s="60"/>
      <c r="K87" s="60"/>
      <c r="L87" s="60"/>
      <c r="M87" s="60"/>
      <c r="N87" s="60"/>
      <c r="O87" s="60"/>
      <c r="P87" s="60"/>
      <c r="Q87" s="60"/>
    </row>
    <row r="88" spans="1:17" x14ac:dyDescent="0.3">
      <c r="A88" s="60"/>
      <c r="B88" s="60" t="s">
        <v>221</v>
      </c>
      <c r="C88" s="60"/>
      <c r="D88" s="60"/>
      <c r="E88" s="60"/>
      <c r="F88" s="60"/>
      <c r="G88" s="60"/>
      <c r="H88" s="60"/>
      <c r="I88" s="60"/>
      <c r="J88" s="60"/>
      <c r="K88" s="60"/>
      <c r="L88" s="60"/>
      <c r="M88" s="60"/>
      <c r="N88" s="60"/>
      <c r="O88" s="60"/>
      <c r="P88" s="60"/>
      <c r="Q88" s="60"/>
    </row>
    <row r="89" spans="1:17" x14ac:dyDescent="0.3">
      <c r="A89" s="60"/>
      <c r="B89" s="60" t="s">
        <v>222</v>
      </c>
      <c r="C89" s="60" t="s">
        <v>223</v>
      </c>
      <c r="D89" s="60"/>
      <c r="E89" s="60"/>
      <c r="F89" s="60"/>
      <c r="G89" s="60"/>
      <c r="H89" s="60"/>
      <c r="I89" s="60"/>
      <c r="J89" s="60"/>
      <c r="K89" s="60"/>
      <c r="L89" s="60"/>
      <c r="M89" s="60"/>
      <c r="N89" s="60"/>
      <c r="O89" s="60"/>
      <c r="P89" s="60"/>
      <c r="Q89" s="60"/>
    </row>
    <row r="90" spans="1:17" x14ac:dyDescent="0.3">
      <c r="A90" s="60"/>
      <c r="B90" s="60" t="s">
        <v>86</v>
      </c>
      <c r="C90" s="60" t="s">
        <v>224</v>
      </c>
      <c r="D90" s="60"/>
      <c r="E90" s="60"/>
      <c r="F90" s="60"/>
      <c r="G90" s="60"/>
      <c r="H90" s="60"/>
      <c r="I90" s="60"/>
      <c r="J90" s="60"/>
      <c r="K90" s="60"/>
      <c r="L90" s="60"/>
      <c r="M90" s="60"/>
      <c r="N90" s="60"/>
      <c r="O90" s="60"/>
      <c r="P90" s="60"/>
      <c r="Q90" s="60"/>
    </row>
    <row r="91" spans="1:17" x14ac:dyDescent="0.3">
      <c r="A91" s="60"/>
      <c r="B91" s="60" t="s">
        <v>225</v>
      </c>
      <c r="C91" s="60" t="s">
        <v>226</v>
      </c>
      <c r="D91" s="60"/>
      <c r="E91" s="60"/>
      <c r="F91" s="60"/>
      <c r="G91" s="60"/>
      <c r="H91" s="60"/>
      <c r="I91" s="60"/>
      <c r="J91" s="60"/>
      <c r="K91" s="60"/>
      <c r="L91" s="60"/>
      <c r="M91" s="60"/>
      <c r="N91" s="60"/>
      <c r="O91" s="60"/>
      <c r="P91" s="60"/>
      <c r="Q91" s="60"/>
    </row>
    <row r="92" spans="1:17" x14ac:dyDescent="0.3">
      <c r="A92" s="60"/>
      <c r="B92" s="60" t="s">
        <v>227</v>
      </c>
      <c r="C92" s="60"/>
      <c r="D92" s="60"/>
      <c r="E92" s="60"/>
      <c r="F92" s="60"/>
      <c r="G92" s="60"/>
      <c r="H92" s="60"/>
      <c r="I92" s="60"/>
      <c r="J92" s="60"/>
      <c r="K92" s="60"/>
      <c r="L92" s="60"/>
      <c r="M92" s="60"/>
      <c r="N92" s="60"/>
      <c r="O92" s="60"/>
      <c r="P92" s="60"/>
      <c r="Q92" s="60"/>
    </row>
    <row r="93" spans="1:17" x14ac:dyDescent="0.3">
      <c r="A93" s="60"/>
      <c r="B93" s="60"/>
      <c r="C93" s="60"/>
      <c r="D93" s="60"/>
      <c r="E93" s="60"/>
      <c r="F93" s="60"/>
      <c r="G93" s="60"/>
      <c r="H93" s="60"/>
      <c r="I93" s="60"/>
      <c r="J93" s="60"/>
      <c r="K93" s="60"/>
      <c r="L93" s="60"/>
      <c r="M93" s="60"/>
      <c r="N93" s="60"/>
      <c r="O93" s="60"/>
      <c r="P93" s="60"/>
      <c r="Q93" s="60"/>
    </row>
    <row r="94" spans="1:17" x14ac:dyDescent="0.3">
      <c r="A94" s="60"/>
      <c r="B94" s="60"/>
      <c r="C94" s="60"/>
      <c r="D94" s="60"/>
      <c r="E94" s="60"/>
      <c r="F94" s="60"/>
      <c r="G94" s="60"/>
      <c r="H94" s="60"/>
      <c r="I94" s="60"/>
      <c r="J94" s="60"/>
      <c r="K94" s="60"/>
      <c r="L94" s="60"/>
      <c r="M94" s="60"/>
      <c r="N94" s="60"/>
      <c r="O94" s="60"/>
      <c r="P94" s="60"/>
      <c r="Q94" s="60"/>
    </row>
    <row r="95" spans="1:17" x14ac:dyDescent="0.3">
      <c r="A95" s="60"/>
      <c r="B95" s="60"/>
      <c r="Q95" s="60"/>
    </row>
    <row r="96" spans="1:17" ht="18" x14ac:dyDescent="0.35">
      <c r="A96" s="60"/>
      <c r="B96" s="60"/>
      <c r="E96" s="134" t="s">
        <v>178</v>
      </c>
      <c r="F96" s="134"/>
      <c r="G96" s="134"/>
      <c r="H96" s="134"/>
      <c r="I96" s="134"/>
      <c r="J96" s="134"/>
      <c r="Q96" s="60"/>
    </row>
    <row r="97" spans="1:17" x14ac:dyDescent="0.3">
      <c r="A97" s="60"/>
      <c r="B97" s="60"/>
      <c r="E97" s="63" t="s">
        <v>166</v>
      </c>
      <c r="Q97" s="60"/>
    </row>
    <row r="98" spans="1:17" x14ac:dyDescent="0.3">
      <c r="A98" s="60"/>
      <c r="B98" s="60"/>
      <c r="E98" s="63" t="s">
        <v>168</v>
      </c>
      <c r="Q98" s="60"/>
    </row>
    <row r="99" spans="1:17" x14ac:dyDescent="0.3">
      <c r="A99" s="60"/>
      <c r="B99" s="60"/>
      <c r="C99" s="63"/>
      <c r="D99" s="63"/>
      <c r="K99" s="63"/>
      <c r="L99" s="63"/>
      <c r="M99" s="63"/>
      <c r="N99" s="63"/>
      <c r="O99" s="60"/>
      <c r="P99" s="60"/>
      <c r="Q99" s="60"/>
    </row>
    <row r="100" spans="1:17" x14ac:dyDescent="0.3">
      <c r="A100" s="60"/>
      <c r="B100" s="60"/>
      <c r="C100" s="63"/>
      <c r="D100" s="63"/>
      <c r="E100" s="66" t="s">
        <v>167</v>
      </c>
      <c r="F100" s="63"/>
      <c r="G100" s="63"/>
      <c r="H100" s="63"/>
      <c r="I100" s="63"/>
      <c r="J100" s="63"/>
      <c r="K100" s="63"/>
      <c r="L100" s="63"/>
      <c r="M100" s="63"/>
      <c r="N100" s="63"/>
      <c r="O100" s="60"/>
      <c r="P100" s="60"/>
      <c r="Q100" s="60"/>
    </row>
    <row r="101" spans="1:17" x14ac:dyDescent="0.3">
      <c r="A101" s="60"/>
      <c r="B101" s="60"/>
      <c r="D101" s="60"/>
      <c r="F101" s="60"/>
      <c r="G101" s="60"/>
      <c r="H101" s="60"/>
      <c r="I101" s="60"/>
      <c r="J101" s="60"/>
      <c r="K101" s="60"/>
      <c r="L101" s="60"/>
      <c r="M101" s="60"/>
      <c r="N101" s="60"/>
      <c r="O101" s="60"/>
      <c r="P101" s="60"/>
      <c r="Q101" s="60"/>
    </row>
    <row r="102" spans="1:17" x14ac:dyDescent="0.3">
      <c r="A102" s="60"/>
      <c r="B102" s="60"/>
      <c r="C102" s="63"/>
      <c r="D102" s="60"/>
      <c r="E102" s="60"/>
      <c r="F102" s="60"/>
      <c r="G102" s="60"/>
      <c r="H102" s="60"/>
      <c r="I102" s="60"/>
      <c r="J102" s="60"/>
      <c r="K102" s="60"/>
      <c r="L102" s="60"/>
      <c r="M102" s="60"/>
      <c r="N102" s="60"/>
      <c r="O102" s="60"/>
      <c r="P102" s="60"/>
      <c r="Q102" s="60"/>
    </row>
    <row r="103" spans="1:17" x14ac:dyDescent="0.3">
      <c r="A103" s="60"/>
      <c r="B103" s="60"/>
      <c r="C103" s="62"/>
      <c r="D103" s="60"/>
      <c r="E103" s="60"/>
      <c r="F103" s="60"/>
      <c r="G103" s="60"/>
      <c r="H103" s="60"/>
      <c r="I103" s="60"/>
      <c r="J103" s="60"/>
      <c r="K103" s="60"/>
      <c r="L103" s="60"/>
      <c r="M103" s="60"/>
      <c r="N103" s="60"/>
      <c r="O103" s="60"/>
      <c r="P103" s="60"/>
      <c r="Q103" s="60"/>
    </row>
    <row r="104" spans="1:17" x14ac:dyDescent="0.3">
      <c r="A104" s="60"/>
      <c r="B104" s="60"/>
      <c r="C104" s="60"/>
      <c r="D104" s="60"/>
      <c r="E104" s="60"/>
      <c r="F104" s="60"/>
      <c r="G104" s="60"/>
      <c r="H104" s="60"/>
      <c r="I104" s="60"/>
      <c r="J104" s="60"/>
      <c r="K104" s="60"/>
      <c r="L104" s="60"/>
      <c r="M104" s="60"/>
      <c r="N104" s="60"/>
      <c r="O104" s="60"/>
      <c r="P104" s="60"/>
      <c r="Q104" s="60"/>
    </row>
    <row r="105" spans="1:17" x14ac:dyDescent="0.3">
      <c r="A105" s="60"/>
      <c r="B105" s="60"/>
      <c r="C105" s="60"/>
      <c r="D105" s="60"/>
      <c r="E105" s="60"/>
      <c r="F105" s="60"/>
      <c r="G105" s="60"/>
      <c r="H105" s="60"/>
      <c r="I105" s="60"/>
      <c r="J105" s="60"/>
      <c r="K105" s="60"/>
      <c r="L105" s="60"/>
      <c r="M105" s="60"/>
      <c r="N105" s="60"/>
      <c r="O105" s="60"/>
      <c r="P105" s="60"/>
      <c r="Q105" s="60"/>
    </row>
    <row r="106" spans="1:17" x14ac:dyDescent="0.3">
      <c r="A106" s="60"/>
      <c r="B106" s="60"/>
      <c r="C106" s="60"/>
      <c r="D106" s="60"/>
      <c r="E106" s="60"/>
      <c r="F106" s="60"/>
      <c r="G106" s="60"/>
      <c r="H106" s="60"/>
      <c r="I106" s="60"/>
      <c r="J106" s="60"/>
      <c r="K106" s="60"/>
      <c r="L106" s="60"/>
      <c r="M106" s="60"/>
      <c r="N106" s="60"/>
      <c r="O106" s="60"/>
      <c r="P106" s="60"/>
      <c r="Q106" s="60"/>
    </row>
    <row r="107" spans="1:17" x14ac:dyDescent="0.3">
      <c r="A107" s="60"/>
      <c r="B107" s="60"/>
      <c r="C107" s="60"/>
      <c r="D107" s="60"/>
      <c r="E107" s="60"/>
      <c r="F107" s="60"/>
      <c r="G107" s="60"/>
      <c r="H107" s="60"/>
      <c r="I107" s="60"/>
      <c r="J107" s="60"/>
      <c r="K107" s="60"/>
      <c r="L107" s="60"/>
      <c r="M107" s="60"/>
      <c r="N107" s="60"/>
      <c r="O107" s="60"/>
      <c r="P107" s="60"/>
      <c r="Q107" s="60"/>
    </row>
    <row r="108" spans="1:17" x14ac:dyDescent="0.3">
      <c r="A108" s="60"/>
      <c r="B108" s="60"/>
      <c r="C108" s="60"/>
      <c r="D108" s="60"/>
      <c r="E108" s="60"/>
      <c r="F108" s="60"/>
      <c r="G108" s="60"/>
      <c r="H108" s="60"/>
      <c r="I108" s="60"/>
      <c r="J108" s="60"/>
      <c r="K108" s="60"/>
      <c r="L108" s="60"/>
      <c r="M108" s="60"/>
      <c r="N108" s="60"/>
      <c r="O108" s="60"/>
      <c r="P108" s="60"/>
      <c r="Q108" s="60"/>
    </row>
    <row r="109" spans="1:17" x14ac:dyDescent="0.3">
      <c r="A109" s="60"/>
      <c r="B109" s="60"/>
      <c r="C109" s="60"/>
      <c r="D109" s="60"/>
      <c r="E109" s="60"/>
      <c r="F109" s="60"/>
      <c r="G109" s="60"/>
      <c r="H109" s="60"/>
      <c r="I109" s="60"/>
      <c r="J109" s="60"/>
      <c r="K109" s="60"/>
      <c r="L109" s="60"/>
      <c r="M109" s="60"/>
      <c r="N109" s="60"/>
      <c r="O109" s="60"/>
      <c r="P109" s="60"/>
      <c r="Q109" s="60"/>
    </row>
    <row r="110" spans="1:17" x14ac:dyDescent="0.3">
      <c r="A110" s="60"/>
      <c r="B110" s="60"/>
      <c r="C110" s="60" t="s">
        <v>103</v>
      </c>
      <c r="D110" s="60"/>
      <c r="E110" s="60"/>
      <c r="F110" s="60"/>
      <c r="G110" s="60"/>
      <c r="H110" s="60"/>
      <c r="I110" s="60"/>
      <c r="J110" s="60"/>
      <c r="K110" s="60"/>
      <c r="L110" s="60"/>
      <c r="M110" s="60"/>
      <c r="N110" s="60"/>
      <c r="O110" s="60"/>
      <c r="P110" s="60"/>
      <c r="Q110" s="60"/>
    </row>
    <row r="111" spans="1:17" x14ac:dyDescent="0.3">
      <c r="A111" s="60"/>
      <c r="B111" s="60"/>
      <c r="C111" s="60" t="s">
        <v>104</v>
      </c>
      <c r="D111" s="60"/>
      <c r="E111" s="60"/>
      <c r="F111" s="60"/>
      <c r="G111" s="60"/>
      <c r="H111" s="60"/>
      <c r="I111" s="60"/>
      <c r="J111" s="60"/>
      <c r="K111" s="60"/>
      <c r="L111" s="60"/>
      <c r="M111" s="60"/>
      <c r="N111" s="60"/>
      <c r="O111" s="60"/>
      <c r="P111" s="60"/>
      <c r="Q111" s="60"/>
    </row>
    <row r="112" spans="1:17" x14ac:dyDescent="0.3">
      <c r="A112" s="60"/>
      <c r="B112" s="60"/>
      <c r="C112" s="60"/>
      <c r="D112" s="60"/>
      <c r="E112" s="60"/>
      <c r="F112" s="60"/>
      <c r="G112" s="60"/>
      <c r="H112" s="60"/>
      <c r="I112" s="60"/>
      <c r="J112" s="60"/>
      <c r="K112" s="60"/>
      <c r="L112" s="60"/>
      <c r="M112" s="60"/>
      <c r="N112" s="60"/>
      <c r="O112" s="60"/>
      <c r="P112" s="60"/>
      <c r="Q112" s="60"/>
    </row>
    <row r="113" spans="1:17" x14ac:dyDescent="0.3">
      <c r="A113" s="60"/>
      <c r="B113" s="60"/>
      <c r="C113" s="60" t="s">
        <v>169</v>
      </c>
      <c r="D113" s="60"/>
      <c r="E113" s="60"/>
      <c r="F113" s="60"/>
      <c r="G113" s="60"/>
      <c r="H113" s="60"/>
      <c r="I113" s="60"/>
      <c r="J113" s="60"/>
      <c r="K113" s="60"/>
      <c r="L113" s="60"/>
      <c r="M113" s="60"/>
      <c r="N113" s="60"/>
      <c r="O113" s="60"/>
      <c r="P113" s="60"/>
      <c r="Q113" s="60"/>
    </row>
    <row r="114" spans="1:17" x14ac:dyDescent="0.3">
      <c r="A114" s="60"/>
      <c r="B114" s="60"/>
      <c r="C114" s="60"/>
      <c r="D114" s="60"/>
      <c r="E114" s="60"/>
      <c r="F114" s="60"/>
      <c r="G114" s="60"/>
      <c r="H114" s="60"/>
      <c r="I114" s="60"/>
      <c r="J114" s="60"/>
      <c r="K114" s="60"/>
      <c r="L114" s="60"/>
      <c r="M114" s="60"/>
      <c r="N114" s="60"/>
      <c r="O114" s="60"/>
      <c r="P114" s="60"/>
      <c r="Q114" s="60"/>
    </row>
    <row r="115" spans="1:17" x14ac:dyDescent="0.3">
      <c r="A115" s="60"/>
      <c r="B115" s="60"/>
      <c r="C115" s="60"/>
      <c r="D115" s="62" t="s">
        <v>105</v>
      </c>
      <c r="E115" s="60"/>
      <c r="F115" s="60"/>
      <c r="G115" s="60"/>
      <c r="H115" s="60"/>
      <c r="I115" s="60"/>
      <c r="J115" s="60"/>
      <c r="K115" s="60"/>
      <c r="L115" s="60"/>
      <c r="M115" s="60"/>
      <c r="N115" s="60"/>
      <c r="O115" s="60"/>
      <c r="P115" s="60"/>
      <c r="Q115" s="60"/>
    </row>
    <row r="116" spans="1:17" x14ac:dyDescent="0.3">
      <c r="A116" s="60"/>
      <c r="B116" s="60"/>
      <c r="C116" s="60"/>
      <c r="D116" s="62" t="s">
        <v>180</v>
      </c>
      <c r="E116" s="60"/>
      <c r="F116" s="60"/>
      <c r="G116" s="60"/>
      <c r="H116" s="60"/>
      <c r="I116" s="60"/>
      <c r="J116" s="60"/>
      <c r="K116" s="60"/>
      <c r="L116" s="60"/>
      <c r="M116" s="60"/>
      <c r="N116" s="60"/>
      <c r="O116" s="60"/>
      <c r="P116" s="60"/>
      <c r="Q116" s="60"/>
    </row>
    <row r="117" spans="1:17" x14ac:dyDescent="0.3">
      <c r="A117" s="60"/>
      <c r="B117" s="60"/>
      <c r="C117" s="60"/>
      <c r="D117" s="62" t="s">
        <v>106</v>
      </c>
      <c r="E117" s="60"/>
      <c r="F117" s="60"/>
      <c r="G117" s="60"/>
      <c r="H117" s="60"/>
      <c r="I117" s="60"/>
      <c r="J117" s="60"/>
      <c r="K117" s="60"/>
      <c r="L117" s="60"/>
      <c r="M117" s="60"/>
      <c r="N117" s="60"/>
      <c r="O117" s="60"/>
      <c r="P117" s="60"/>
      <c r="Q117" s="60"/>
    </row>
    <row r="118" spans="1:17" x14ac:dyDescent="0.3">
      <c r="A118" s="60"/>
      <c r="B118" s="60"/>
      <c r="C118" s="60"/>
      <c r="D118" s="63"/>
      <c r="E118" s="60"/>
      <c r="F118" s="60"/>
      <c r="G118" s="60"/>
      <c r="H118" s="60"/>
      <c r="I118" s="60"/>
      <c r="J118" s="60"/>
      <c r="K118" s="60"/>
      <c r="L118" s="60"/>
      <c r="M118" s="60"/>
      <c r="N118" s="60"/>
      <c r="O118" s="60"/>
      <c r="P118" s="60"/>
      <c r="Q118" s="60"/>
    </row>
    <row r="119" spans="1:17" x14ac:dyDescent="0.3">
      <c r="A119" s="60"/>
      <c r="B119" s="60"/>
      <c r="C119" s="60"/>
      <c r="D119" s="60"/>
      <c r="E119" s="60"/>
      <c r="F119" s="60"/>
      <c r="G119" s="60"/>
      <c r="H119" s="60"/>
      <c r="I119" s="60"/>
      <c r="J119" s="60"/>
      <c r="K119" s="60"/>
      <c r="L119" s="60"/>
      <c r="M119" s="60"/>
      <c r="N119" s="60"/>
      <c r="O119" s="60"/>
      <c r="P119" s="60"/>
      <c r="Q119" s="60"/>
    </row>
    <row r="120" spans="1:17" x14ac:dyDescent="0.3">
      <c r="A120" s="60"/>
      <c r="B120" s="60"/>
      <c r="C120" s="60"/>
      <c r="D120" s="60"/>
      <c r="E120" s="60" t="s">
        <v>171</v>
      </c>
      <c r="F120" s="60"/>
      <c r="G120" s="60"/>
      <c r="H120" s="60"/>
      <c r="I120" s="60"/>
      <c r="J120" s="60"/>
      <c r="K120" s="60"/>
      <c r="L120" s="60"/>
      <c r="M120" s="60"/>
      <c r="N120" s="60"/>
      <c r="O120" s="60"/>
      <c r="P120" s="60"/>
      <c r="Q120" s="60"/>
    </row>
    <row r="121" spans="1:17" x14ac:dyDescent="0.3">
      <c r="A121" s="60"/>
      <c r="B121" s="60"/>
      <c r="C121" s="60"/>
      <c r="D121" s="60"/>
      <c r="E121" s="60" t="s">
        <v>112</v>
      </c>
      <c r="F121" s="60"/>
      <c r="G121" s="60"/>
      <c r="H121" s="60"/>
      <c r="I121" s="60"/>
      <c r="J121" s="60"/>
      <c r="K121" s="60"/>
      <c r="L121" s="60"/>
      <c r="M121" s="60"/>
      <c r="N121" s="60"/>
      <c r="O121" s="60"/>
      <c r="P121" s="60"/>
      <c r="Q121" s="60"/>
    </row>
    <row r="122" spans="1:17" x14ac:dyDescent="0.3">
      <c r="A122" s="60"/>
      <c r="B122" s="60"/>
      <c r="C122" s="60"/>
      <c r="D122" s="60"/>
      <c r="E122" s="60"/>
      <c r="F122" s="60"/>
      <c r="G122" s="60"/>
      <c r="H122" s="60"/>
      <c r="I122" s="60"/>
      <c r="J122" s="60"/>
      <c r="K122" s="60"/>
      <c r="L122" s="60"/>
      <c r="M122" s="60"/>
      <c r="N122" s="60"/>
      <c r="O122" s="60"/>
      <c r="P122" s="60"/>
      <c r="Q122" s="60"/>
    </row>
    <row r="123" spans="1:17" x14ac:dyDescent="0.3">
      <c r="A123" s="60"/>
      <c r="B123" s="60"/>
      <c r="C123" s="60"/>
      <c r="D123" s="66" t="s">
        <v>93</v>
      </c>
      <c r="E123" s="60" t="s">
        <v>170</v>
      </c>
      <c r="F123" s="60"/>
      <c r="G123" s="60"/>
      <c r="H123" s="60"/>
      <c r="I123" s="60"/>
      <c r="J123" s="60"/>
      <c r="K123" s="60"/>
      <c r="L123" s="60"/>
      <c r="M123" s="60"/>
      <c r="N123" s="60"/>
      <c r="O123" s="60"/>
      <c r="P123" s="60"/>
      <c r="Q123" s="60"/>
    </row>
    <row r="124" spans="1:17" x14ac:dyDescent="0.3">
      <c r="A124" s="60"/>
      <c r="B124" s="60"/>
      <c r="C124" s="60"/>
      <c r="E124" s="60" t="s">
        <v>109</v>
      </c>
      <c r="F124" s="60"/>
      <c r="G124" s="60"/>
      <c r="H124" s="60"/>
      <c r="I124" s="60"/>
      <c r="J124" s="60"/>
      <c r="K124" s="60"/>
      <c r="L124" s="60"/>
      <c r="M124" s="60"/>
      <c r="N124" s="60"/>
      <c r="O124" s="60"/>
      <c r="P124" s="60"/>
      <c r="Q124" s="60"/>
    </row>
    <row r="125" spans="1:17" x14ac:dyDescent="0.3">
      <c r="A125" s="60"/>
      <c r="B125" s="60"/>
      <c r="C125" s="60"/>
      <c r="D125" s="66"/>
      <c r="E125" s="60" t="s">
        <v>110</v>
      </c>
      <c r="F125" s="60"/>
      <c r="G125" s="60"/>
      <c r="H125" s="60"/>
      <c r="I125" s="60"/>
      <c r="J125" s="60"/>
      <c r="K125" s="60"/>
      <c r="L125" s="60"/>
      <c r="M125" s="60"/>
      <c r="N125" s="60"/>
      <c r="O125" s="60"/>
      <c r="P125" s="60"/>
      <c r="Q125" s="60"/>
    </row>
    <row r="126" spans="1:17" x14ac:dyDescent="0.3">
      <c r="A126" s="60"/>
      <c r="B126" s="60"/>
      <c r="C126" s="60"/>
      <c r="D126" s="60"/>
      <c r="E126" s="60" t="s">
        <v>111</v>
      </c>
      <c r="F126" s="60"/>
      <c r="G126" s="60"/>
      <c r="H126" s="60"/>
      <c r="I126" s="60"/>
      <c r="J126" s="60"/>
      <c r="K126" s="60"/>
      <c r="L126" s="60"/>
      <c r="M126" s="60"/>
      <c r="N126" s="60"/>
      <c r="O126" s="60"/>
      <c r="P126" s="60"/>
      <c r="Q126" s="60"/>
    </row>
    <row r="127" spans="1:17" x14ac:dyDescent="0.3">
      <c r="A127" s="60"/>
      <c r="B127" s="60"/>
      <c r="C127" s="60"/>
      <c r="D127" s="60"/>
      <c r="E127" s="60"/>
      <c r="F127" s="60"/>
      <c r="G127" s="60"/>
      <c r="H127" s="60"/>
      <c r="I127" s="60"/>
      <c r="J127" s="60"/>
      <c r="K127" s="60"/>
      <c r="L127" s="60"/>
      <c r="M127" s="60"/>
      <c r="N127" s="60"/>
      <c r="O127" s="60"/>
      <c r="P127" s="60"/>
      <c r="Q127" s="60"/>
    </row>
    <row r="128" spans="1:17" x14ac:dyDescent="0.3">
      <c r="A128" s="60"/>
      <c r="B128" s="60"/>
      <c r="C128" s="60"/>
      <c r="D128" s="60"/>
      <c r="E128" s="60"/>
      <c r="F128" s="60"/>
      <c r="G128" s="60"/>
      <c r="H128" s="60"/>
      <c r="I128" s="60"/>
      <c r="J128" s="60"/>
      <c r="K128" s="60"/>
      <c r="L128" s="60"/>
      <c r="M128" s="60"/>
      <c r="N128" s="60"/>
      <c r="O128" s="60"/>
      <c r="P128" s="60"/>
      <c r="Q128" s="60"/>
    </row>
    <row r="129" spans="1:17" ht="18" x14ac:dyDescent="0.35">
      <c r="A129" s="60"/>
      <c r="B129" s="60"/>
      <c r="C129" s="60"/>
      <c r="D129" s="60"/>
      <c r="E129" s="135" t="s">
        <v>172</v>
      </c>
      <c r="F129" s="60"/>
      <c r="G129" s="60"/>
      <c r="H129" s="60"/>
      <c r="I129" s="60"/>
      <c r="J129" s="60"/>
      <c r="K129" s="60"/>
      <c r="L129" s="60"/>
      <c r="M129" s="60"/>
      <c r="N129" s="60"/>
      <c r="O129" s="60"/>
      <c r="P129" s="60"/>
      <c r="Q129" s="60"/>
    </row>
    <row r="130" spans="1:17" ht="18" x14ac:dyDescent="0.35">
      <c r="A130" s="60"/>
      <c r="B130" s="60"/>
      <c r="C130" s="60"/>
      <c r="D130" s="60"/>
      <c r="E130" s="135" t="s">
        <v>197</v>
      </c>
      <c r="F130" s="60"/>
      <c r="G130" s="60"/>
      <c r="H130" s="60"/>
      <c r="I130" s="60"/>
      <c r="J130" s="60"/>
      <c r="K130" s="60"/>
      <c r="L130" s="60"/>
      <c r="M130" s="60"/>
      <c r="N130" s="60"/>
      <c r="O130" s="60"/>
      <c r="P130" s="60"/>
      <c r="Q130" s="60"/>
    </row>
    <row r="131" spans="1:17" x14ac:dyDescent="0.3">
      <c r="A131" s="60"/>
      <c r="B131" s="60"/>
      <c r="C131" s="60"/>
      <c r="D131" s="60"/>
      <c r="E131" s="60"/>
      <c r="F131" s="60"/>
      <c r="G131" s="60"/>
      <c r="H131" s="60"/>
      <c r="I131" s="60"/>
      <c r="J131" s="60"/>
      <c r="K131" s="60"/>
      <c r="L131" s="60"/>
      <c r="M131" s="60"/>
      <c r="N131" s="60"/>
      <c r="O131" s="60"/>
      <c r="P131" s="60"/>
      <c r="Q131" s="60"/>
    </row>
    <row r="132" spans="1:17" x14ac:dyDescent="0.3">
      <c r="A132" s="60"/>
      <c r="B132" s="60"/>
      <c r="C132" s="60"/>
      <c r="D132" s="66" t="s">
        <v>93</v>
      </c>
      <c r="E132" s="60" t="s">
        <v>173</v>
      </c>
      <c r="F132" s="60"/>
      <c r="G132" s="60"/>
      <c r="H132" s="60"/>
      <c r="I132" s="60"/>
      <c r="J132" s="60"/>
      <c r="K132" s="60"/>
      <c r="L132" s="60"/>
      <c r="M132" s="60"/>
      <c r="N132" s="60"/>
      <c r="O132" s="60"/>
      <c r="P132" s="60"/>
      <c r="Q132" s="60"/>
    </row>
    <row r="133" spans="1:17" x14ac:dyDescent="0.3">
      <c r="A133" s="60"/>
      <c r="B133" s="60"/>
      <c r="C133" s="60"/>
      <c r="D133" s="60"/>
      <c r="E133" s="60"/>
      <c r="F133" s="60"/>
      <c r="G133" s="60"/>
      <c r="H133" s="60"/>
      <c r="I133" s="60"/>
      <c r="J133" s="60"/>
      <c r="K133" s="60"/>
      <c r="L133" s="60"/>
      <c r="M133" s="60"/>
      <c r="N133" s="60"/>
      <c r="O133" s="60"/>
      <c r="P133" s="60"/>
      <c r="Q133" s="60"/>
    </row>
    <row r="134" spans="1:17" x14ac:dyDescent="0.3">
      <c r="A134" s="60"/>
      <c r="B134" s="60"/>
      <c r="C134" s="60"/>
      <c r="D134" s="60"/>
      <c r="E134" s="60"/>
      <c r="F134" s="60"/>
      <c r="G134" s="60"/>
      <c r="H134" s="60"/>
      <c r="I134" s="60"/>
      <c r="J134" s="60"/>
      <c r="K134" s="60"/>
      <c r="L134" s="60"/>
      <c r="M134" s="60"/>
      <c r="N134" s="60"/>
      <c r="O134" s="60"/>
      <c r="P134" s="60"/>
      <c r="Q134" s="60"/>
    </row>
    <row r="135" spans="1:17" x14ac:dyDescent="0.3">
      <c r="A135" s="60"/>
      <c r="B135" s="60"/>
      <c r="C135" s="60"/>
      <c r="D135" s="60"/>
      <c r="E135" s="60"/>
      <c r="F135" s="60"/>
      <c r="G135" s="60"/>
      <c r="H135" s="60"/>
      <c r="I135" s="60"/>
      <c r="J135" s="60"/>
      <c r="K135" s="60"/>
      <c r="L135" s="60"/>
      <c r="M135" s="60"/>
      <c r="N135" s="60"/>
      <c r="O135" s="60"/>
      <c r="P135" s="60"/>
      <c r="Q135" s="60"/>
    </row>
    <row r="136" spans="1:17" x14ac:dyDescent="0.3">
      <c r="A136" s="60"/>
      <c r="B136" s="60"/>
      <c r="C136" s="60"/>
      <c r="D136" s="60"/>
      <c r="E136" s="60" t="s">
        <v>174</v>
      </c>
      <c r="F136" s="60"/>
      <c r="G136" s="60"/>
      <c r="H136" s="60"/>
      <c r="I136" s="60"/>
      <c r="J136" s="60"/>
      <c r="K136" s="60"/>
      <c r="L136" s="60"/>
      <c r="M136" s="60"/>
      <c r="N136" s="60"/>
      <c r="O136" s="60"/>
      <c r="P136" s="60"/>
      <c r="Q136" s="60"/>
    </row>
    <row r="137" spans="1:17" x14ac:dyDescent="0.3">
      <c r="A137" s="60"/>
      <c r="B137" s="60"/>
      <c r="C137" s="60"/>
      <c r="D137" s="60"/>
      <c r="E137" s="59" t="s">
        <v>175</v>
      </c>
      <c r="F137" s="60"/>
      <c r="G137" s="60"/>
      <c r="H137" s="60"/>
      <c r="I137" s="60"/>
      <c r="J137" s="60"/>
      <c r="K137" s="60"/>
      <c r="L137" s="60"/>
      <c r="M137" s="60"/>
      <c r="N137" s="60"/>
      <c r="O137" s="60"/>
      <c r="P137" s="60"/>
      <c r="Q137" s="60"/>
    </row>
    <row r="138" spans="1:17" x14ac:dyDescent="0.3">
      <c r="A138" s="60"/>
      <c r="B138" s="60"/>
      <c r="C138" s="60"/>
      <c r="D138" s="60"/>
      <c r="E138" s="60" t="s">
        <v>176</v>
      </c>
      <c r="F138" s="60"/>
      <c r="G138" s="60"/>
      <c r="H138" s="60"/>
      <c r="I138" s="60"/>
      <c r="J138" s="60"/>
      <c r="K138" s="60"/>
      <c r="L138" s="60"/>
      <c r="M138" s="60"/>
      <c r="N138" s="60"/>
      <c r="O138" s="60"/>
      <c r="P138" s="60"/>
      <c r="Q138" s="60"/>
    </row>
    <row r="139" spans="1:17" x14ac:dyDescent="0.3">
      <c r="A139" s="60"/>
      <c r="B139" s="60"/>
      <c r="C139" s="60"/>
      <c r="D139" s="60"/>
      <c r="E139" s="60"/>
      <c r="F139" s="60"/>
      <c r="G139" s="60"/>
      <c r="H139" s="60"/>
      <c r="I139" s="60"/>
      <c r="J139" s="60"/>
      <c r="K139" s="60"/>
      <c r="L139" s="60"/>
      <c r="M139" s="60"/>
      <c r="N139" s="60"/>
      <c r="O139" s="60"/>
      <c r="P139" s="60"/>
      <c r="Q139" s="60"/>
    </row>
    <row r="140" spans="1:17" x14ac:dyDescent="0.3">
      <c r="A140" s="60"/>
      <c r="B140" s="60"/>
      <c r="C140" s="60"/>
      <c r="D140" s="66" t="s">
        <v>93</v>
      </c>
      <c r="E140" s="60" t="s">
        <v>144</v>
      </c>
      <c r="F140" s="60"/>
      <c r="G140" s="60"/>
      <c r="H140" s="60"/>
      <c r="I140" s="60"/>
      <c r="J140" s="60"/>
      <c r="K140" s="60"/>
      <c r="L140" s="60"/>
      <c r="M140" s="60"/>
      <c r="N140" s="60"/>
      <c r="O140" s="60"/>
      <c r="P140" s="60"/>
      <c r="Q140" s="60"/>
    </row>
    <row r="141" spans="1:17" x14ac:dyDescent="0.3">
      <c r="A141" s="60"/>
      <c r="B141" s="60"/>
      <c r="C141" s="60"/>
      <c r="D141" s="60"/>
      <c r="E141" s="60" t="s">
        <v>143</v>
      </c>
      <c r="F141" s="60"/>
      <c r="G141" s="60"/>
      <c r="H141" s="60"/>
      <c r="I141" s="60"/>
      <c r="J141" s="60"/>
      <c r="K141" s="60"/>
      <c r="L141" s="60"/>
      <c r="M141" s="60"/>
      <c r="N141" s="60"/>
      <c r="O141" s="60"/>
      <c r="P141" s="60"/>
      <c r="Q141" s="60"/>
    </row>
    <row r="142" spans="1:17" x14ac:dyDescent="0.3">
      <c r="A142" s="60"/>
      <c r="B142" s="60"/>
      <c r="C142" s="60"/>
      <c r="D142" s="60"/>
      <c r="E142" s="60"/>
      <c r="F142" s="60"/>
      <c r="G142" s="60"/>
      <c r="H142" s="60"/>
      <c r="I142" s="60"/>
      <c r="J142" s="60"/>
      <c r="K142" s="60"/>
      <c r="L142" s="60"/>
      <c r="M142" s="60"/>
      <c r="N142" s="60"/>
      <c r="O142" s="60"/>
      <c r="P142" s="60"/>
      <c r="Q142" s="60"/>
    </row>
    <row r="143" spans="1:17" x14ac:dyDescent="0.3">
      <c r="A143" s="60"/>
      <c r="B143" s="60"/>
      <c r="C143" s="60"/>
      <c r="D143" s="60"/>
      <c r="E143" s="60"/>
      <c r="F143" s="60"/>
      <c r="G143" s="60"/>
      <c r="H143" s="60"/>
      <c r="I143" s="60"/>
      <c r="J143" s="60"/>
      <c r="K143" s="60"/>
      <c r="L143" s="60"/>
      <c r="M143" s="60"/>
      <c r="N143" s="60"/>
      <c r="O143" s="60"/>
      <c r="P143" s="60"/>
      <c r="Q143" s="60"/>
    </row>
    <row r="144" spans="1:17" x14ac:dyDescent="0.3">
      <c r="A144" s="60"/>
      <c r="B144" s="60"/>
      <c r="C144" s="60"/>
      <c r="D144" s="60"/>
      <c r="E144" s="60"/>
      <c r="F144" s="60"/>
      <c r="G144" s="60"/>
      <c r="H144" s="60"/>
      <c r="I144" s="60"/>
      <c r="J144" s="60"/>
      <c r="K144" s="60"/>
      <c r="L144" s="60"/>
      <c r="M144" s="60"/>
      <c r="N144" s="60"/>
      <c r="O144" s="60"/>
      <c r="P144" s="60"/>
      <c r="Q144" s="60"/>
    </row>
    <row r="145" spans="1:17" ht="17.399999999999999" x14ac:dyDescent="0.35">
      <c r="A145" s="60"/>
      <c r="B145" s="65" t="s">
        <v>95</v>
      </c>
      <c r="C145" s="60"/>
      <c r="D145" s="60" t="s">
        <v>145</v>
      </c>
      <c r="E145" s="60"/>
      <c r="F145" s="60"/>
      <c r="G145" s="60"/>
      <c r="H145" s="60"/>
      <c r="I145" s="60"/>
      <c r="J145" s="60"/>
      <c r="K145" s="60"/>
      <c r="L145" s="60"/>
      <c r="M145" s="60"/>
      <c r="N145" s="60"/>
      <c r="O145" s="60"/>
      <c r="P145" s="60"/>
      <c r="Q145" s="60"/>
    </row>
    <row r="146" spans="1:17" x14ac:dyDescent="0.3">
      <c r="A146" s="60"/>
      <c r="B146" s="60"/>
      <c r="C146" s="60"/>
      <c r="D146" s="60" t="s">
        <v>177</v>
      </c>
      <c r="E146" s="60"/>
      <c r="F146" s="60"/>
      <c r="G146" s="60"/>
      <c r="H146" s="60"/>
      <c r="I146" s="60"/>
      <c r="J146" s="60"/>
      <c r="K146" s="60"/>
      <c r="L146" s="60"/>
      <c r="M146" s="60"/>
      <c r="N146" s="60"/>
      <c r="O146" s="60"/>
      <c r="P146" s="60"/>
      <c r="Q146" s="60"/>
    </row>
    <row r="147" spans="1:17" x14ac:dyDescent="0.3">
      <c r="A147" s="60"/>
      <c r="B147" s="60"/>
      <c r="C147" s="60"/>
      <c r="D147" s="60"/>
      <c r="E147" s="60"/>
      <c r="F147" s="60"/>
      <c r="G147" s="60"/>
      <c r="H147" s="60"/>
      <c r="I147" s="60"/>
      <c r="J147" s="60"/>
      <c r="K147" s="60"/>
      <c r="L147" s="60"/>
      <c r="M147" s="60"/>
      <c r="N147" s="60"/>
      <c r="O147" s="60"/>
      <c r="P147" s="60"/>
      <c r="Q147" s="60"/>
    </row>
    <row r="148" spans="1:17" x14ac:dyDescent="0.3">
      <c r="A148" s="60"/>
      <c r="B148" s="60"/>
      <c r="C148" s="60"/>
      <c r="D148" s="62" t="s">
        <v>190</v>
      </c>
      <c r="E148" s="60"/>
      <c r="F148" s="60"/>
      <c r="G148" s="60"/>
      <c r="H148" s="60"/>
      <c r="I148" s="60"/>
      <c r="J148" s="60"/>
      <c r="K148" s="60"/>
      <c r="L148" s="60"/>
      <c r="M148" s="60"/>
      <c r="N148" s="60"/>
      <c r="O148" s="60"/>
      <c r="P148" s="60"/>
      <c r="Q148" s="60"/>
    </row>
    <row r="149" spans="1:17" x14ac:dyDescent="0.3">
      <c r="A149" s="60"/>
      <c r="B149" s="60"/>
      <c r="C149" s="60"/>
      <c r="D149" s="66" t="s">
        <v>191</v>
      </c>
      <c r="E149" s="60"/>
      <c r="F149" s="60"/>
      <c r="G149" s="60"/>
      <c r="H149" s="60"/>
      <c r="I149" s="60"/>
      <c r="J149" s="60"/>
      <c r="K149" s="60"/>
      <c r="L149" s="60"/>
      <c r="M149" s="60"/>
      <c r="N149" s="60"/>
      <c r="O149" s="60"/>
      <c r="P149" s="60"/>
      <c r="Q149" s="60"/>
    </row>
    <row r="150" spans="1:17" x14ac:dyDescent="0.3">
      <c r="A150" s="60"/>
      <c r="B150" s="60"/>
      <c r="C150" s="60"/>
      <c r="D150" s="60"/>
      <c r="E150" s="60"/>
      <c r="F150" s="60"/>
      <c r="G150" s="60"/>
      <c r="H150" s="60"/>
      <c r="I150" s="60"/>
      <c r="J150" s="60"/>
      <c r="K150" s="60"/>
      <c r="L150" s="60"/>
      <c r="M150" s="60"/>
      <c r="N150" s="60"/>
      <c r="O150" s="60"/>
      <c r="P150" s="60"/>
      <c r="Q150" s="60"/>
    </row>
    <row r="151" spans="1:17" x14ac:dyDescent="0.3">
      <c r="A151" s="60"/>
      <c r="B151" s="60"/>
      <c r="C151" s="60"/>
      <c r="D151" s="60"/>
      <c r="E151" s="60"/>
      <c r="F151" s="60"/>
      <c r="G151" s="60"/>
      <c r="H151" s="60"/>
      <c r="I151" s="60"/>
      <c r="J151" s="60"/>
      <c r="K151" s="60"/>
      <c r="L151" s="60"/>
      <c r="M151" s="60"/>
      <c r="N151" s="60"/>
      <c r="O151" s="60"/>
      <c r="P151" s="60"/>
      <c r="Q151" s="60"/>
    </row>
    <row r="152" spans="1:17" x14ac:dyDescent="0.3">
      <c r="A152" s="60"/>
      <c r="B152" s="60"/>
      <c r="C152" s="60"/>
      <c r="D152" s="60"/>
      <c r="E152" s="60" t="s">
        <v>136</v>
      </c>
      <c r="F152" s="60"/>
      <c r="G152" s="60"/>
      <c r="H152" s="60"/>
      <c r="I152" s="60"/>
      <c r="J152" s="60"/>
      <c r="K152" s="60"/>
      <c r="L152" s="60"/>
      <c r="M152" s="60"/>
      <c r="N152" s="60"/>
      <c r="O152" s="60"/>
      <c r="P152" s="60"/>
      <c r="Q152" s="60"/>
    </row>
    <row r="153" spans="1:17" x14ac:dyDescent="0.3">
      <c r="A153" s="60"/>
      <c r="B153" s="60"/>
      <c r="C153" s="60"/>
      <c r="D153" s="60"/>
      <c r="E153" s="60"/>
      <c r="F153" s="60"/>
      <c r="G153" s="60"/>
      <c r="H153" s="60"/>
      <c r="I153" s="60"/>
      <c r="J153" s="60"/>
      <c r="K153" s="60"/>
      <c r="L153" s="60"/>
      <c r="M153" s="60"/>
      <c r="N153" s="60"/>
      <c r="O153" s="60"/>
      <c r="P153" s="60"/>
      <c r="Q153" s="60"/>
    </row>
    <row r="154" spans="1:17" x14ac:dyDescent="0.3">
      <c r="A154" s="60"/>
      <c r="B154" s="60"/>
      <c r="C154" s="60"/>
      <c r="D154" s="60"/>
      <c r="E154" s="60"/>
      <c r="F154" s="60"/>
      <c r="G154" s="60"/>
      <c r="H154" s="60"/>
      <c r="I154" s="60"/>
      <c r="J154" s="60"/>
      <c r="K154" s="60"/>
      <c r="L154" s="60"/>
      <c r="M154" s="60"/>
      <c r="N154" s="60"/>
      <c r="O154" s="60"/>
      <c r="P154" s="60"/>
      <c r="Q154" s="60"/>
    </row>
    <row r="155" spans="1:17" x14ac:dyDescent="0.3">
      <c r="A155" s="60"/>
      <c r="B155" s="60"/>
      <c r="C155" s="66" t="s">
        <v>117</v>
      </c>
      <c r="D155" s="66" t="s">
        <v>118</v>
      </c>
      <c r="E155" s="60"/>
      <c r="F155" s="60"/>
      <c r="G155" s="60"/>
      <c r="H155" s="60"/>
      <c r="I155" s="60"/>
      <c r="J155" s="60"/>
      <c r="K155" s="60"/>
      <c r="L155" s="60"/>
      <c r="M155" s="60"/>
      <c r="N155" s="60"/>
      <c r="O155" s="60"/>
      <c r="P155" s="60"/>
      <c r="Q155" s="60"/>
    </row>
    <row r="156" spans="1:17" x14ac:dyDescent="0.3">
      <c r="A156" s="60"/>
      <c r="B156" s="60"/>
      <c r="C156" s="66"/>
      <c r="D156" s="66"/>
      <c r="E156" s="60"/>
      <c r="F156" s="60"/>
      <c r="G156" s="60"/>
      <c r="H156" s="60"/>
      <c r="I156" s="60"/>
      <c r="J156" s="60"/>
      <c r="K156" s="60"/>
      <c r="L156" s="60"/>
      <c r="M156" s="60"/>
      <c r="N156" s="60"/>
      <c r="O156" s="60"/>
      <c r="P156" s="60"/>
      <c r="Q156" s="60"/>
    </row>
    <row r="157" spans="1:17" x14ac:dyDescent="0.3">
      <c r="A157" s="60"/>
      <c r="B157" s="60"/>
      <c r="C157" s="66"/>
      <c r="D157" s="66"/>
      <c r="E157" s="60"/>
      <c r="F157" s="60"/>
      <c r="G157" s="60"/>
      <c r="H157" s="60"/>
      <c r="I157" s="60"/>
      <c r="J157" s="60"/>
      <c r="K157" s="60"/>
      <c r="L157" s="60"/>
      <c r="M157" s="60"/>
      <c r="N157" s="60"/>
      <c r="O157" s="60"/>
      <c r="P157" s="60"/>
      <c r="Q157" s="60"/>
    </row>
    <row r="158" spans="1:17" x14ac:dyDescent="0.3">
      <c r="A158" s="60"/>
      <c r="B158" s="60"/>
      <c r="C158" s="66"/>
      <c r="D158" s="66"/>
      <c r="E158" s="60"/>
      <c r="F158" s="60"/>
      <c r="G158" s="60"/>
      <c r="H158" s="60"/>
      <c r="I158" s="60"/>
      <c r="J158" s="60"/>
      <c r="K158" s="60"/>
      <c r="L158" s="60"/>
      <c r="M158" s="60"/>
      <c r="N158" s="60"/>
      <c r="O158" s="60"/>
      <c r="P158" s="60"/>
      <c r="Q158" s="60"/>
    </row>
    <row r="159" spans="1:17" x14ac:dyDescent="0.3">
      <c r="A159" s="60"/>
      <c r="B159" s="60"/>
      <c r="C159" s="66"/>
      <c r="D159" s="66"/>
      <c r="E159" s="60"/>
      <c r="F159" s="60"/>
      <c r="G159" s="60"/>
      <c r="H159" s="60"/>
      <c r="I159" s="60"/>
      <c r="J159" s="60"/>
      <c r="K159" s="60"/>
      <c r="L159" s="60"/>
      <c r="M159" s="60"/>
      <c r="N159" s="60"/>
      <c r="O159" s="60"/>
      <c r="P159" s="60"/>
      <c r="Q159" s="60"/>
    </row>
    <row r="160" spans="1:17" x14ac:dyDescent="0.3">
      <c r="A160" s="60"/>
      <c r="B160" s="60"/>
      <c r="C160" s="66"/>
      <c r="D160" s="66"/>
      <c r="E160" s="60"/>
      <c r="F160" s="60"/>
      <c r="G160" s="60"/>
      <c r="H160" s="60"/>
      <c r="I160" s="60"/>
      <c r="J160" s="60"/>
      <c r="K160" s="60"/>
      <c r="L160" s="60"/>
      <c r="M160" s="60"/>
      <c r="N160" s="60"/>
      <c r="O160" s="60"/>
      <c r="P160" s="60"/>
      <c r="Q160" s="60"/>
    </row>
    <row r="161" spans="1:17" x14ac:dyDescent="0.3">
      <c r="A161" s="60"/>
      <c r="B161" s="60" t="s">
        <v>181</v>
      </c>
      <c r="C161" s="66"/>
      <c r="D161" s="66"/>
      <c r="E161" s="60"/>
      <c r="F161" s="60"/>
      <c r="G161" s="60"/>
      <c r="H161" s="60"/>
      <c r="I161" s="60"/>
      <c r="J161" s="60"/>
      <c r="K161" s="60"/>
      <c r="L161" s="60"/>
      <c r="M161" s="60"/>
      <c r="N161" s="60"/>
      <c r="O161" s="60"/>
      <c r="P161" s="60"/>
      <c r="Q161" s="60"/>
    </row>
    <row r="162" spans="1:17" x14ac:dyDescent="0.3">
      <c r="A162" s="60"/>
      <c r="B162" s="60" t="s">
        <v>182</v>
      </c>
      <c r="C162" s="66"/>
      <c r="D162" s="66"/>
      <c r="E162" s="60"/>
      <c r="F162" s="60"/>
      <c r="G162" s="60"/>
      <c r="H162" s="60"/>
      <c r="I162" s="60"/>
      <c r="J162" s="60"/>
      <c r="K162" s="60"/>
      <c r="L162" s="60"/>
      <c r="M162" s="60"/>
      <c r="N162" s="60"/>
      <c r="O162" s="60"/>
      <c r="P162" s="60"/>
      <c r="Q162" s="60"/>
    </row>
    <row r="163" spans="1:17" x14ac:dyDescent="0.3">
      <c r="A163" s="60"/>
      <c r="B163" s="60"/>
      <c r="C163" s="66"/>
      <c r="D163" s="66"/>
      <c r="E163" s="60"/>
      <c r="F163" s="60"/>
      <c r="G163" s="60"/>
      <c r="H163" s="60"/>
      <c r="I163" s="60"/>
      <c r="J163" s="60"/>
      <c r="K163" s="60"/>
      <c r="L163" s="60"/>
      <c r="M163" s="60"/>
      <c r="N163" s="60"/>
      <c r="O163" s="60"/>
      <c r="P163" s="60"/>
      <c r="Q163" s="60"/>
    </row>
    <row r="164" spans="1:17" x14ac:dyDescent="0.3">
      <c r="A164" s="60"/>
      <c r="B164" s="60"/>
      <c r="C164" s="66"/>
      <c r="D164" s="66"/>
      <c r="E164" s="60"/>
      <c r="F164" s="60"/>
      <c r="G164" s="60"/>
      <c r="H164" s="60"/>
      <c r="I164" s="60"/>
      <c r="J164" s="60"/>
      <c r="K164" s="60"/>
      <c r="L164" s="60"/>
      <c r="M164" s="60"/>
      <c r="N164" s="60"/>
      <c r="O164" s="60"/>
      <c r="P164" s="60"/>
      <c r="Q164" s="60"/>
    </row>
    <row r="165" spans="1:17" x14ac:dyDescent="0.3">
      <c r="A165" s="60"/>
      <c r="B165" s="60"/>
      <c r="C165" s="60"/>
      <c r="D165" s="60"/>
      <c r="E165" s="60"/>
      <c r="F165" s="60"/>
      <c r="G165" s="60"/>
      <c r="H165" s="60"/>
      <c r="I165" s="60"/>
      <c r="J165" s="60"/>
      <c r="K165" s="60"/>
      <c r="L165" s="60"/>
      <c r="M165" s="60"/>
      <c r="N165" s="60"/>
      <c r="O165" s="60"/>
      <c r="P165" s="60"/>
      <c r="Q165" s="60"/>
    </row>
    <row r="166" spans="1:17" x14ac:dyDescent="0.3">
      <c r="A166" s="60"/>
      <c r="B166" s="60"/>
      <c r="C166" s="60"/>
      <c r="D166" s="60"/>
      <c r="E166" s="60"/>
      <c r="F166" s="60"/>
      <c r="G166" s="60"/>
      <c r="H166" s="60"/>
      <c r="I166" s="60"/>
      <c r="J166" s="60"/>
      <c r="K166" s="60"/>
      <c r="L166" s="60"/>
      <c r="M166" s="60"/>
      <c r="N166" s="60"/>
      <c r="O166" s="60"/>
      <c r="P166" s="60"/>
      <c r="Q166" s="60"/>
    </row>
    <row r="167" spans="1:17" x14ac:dyDescent="0.3">
      <c r="A167" s="60"/>
      <c r="B167" s="60"/>
      <c r="C167" s="60"/>
      <c r="D167" s="60"/>
      <c r="E167" s="60"/>
      <c r="F167" s="60"/>
      <c r="G167" s="60"/>
      <c r="H167" s="60"/>
      <c r="I167" s="60"/>
      <c r="J167" s="60"/>
      <c r="K167" s="60"/>
      <c r="L167" s="60"/>
      <c r="M167" s="60"/>
      <c r="N167" s="60"/>
      <c r="O167" s="60"/>
      <c r="P167" s="60"/>
      <c r="Q167" s="60"/>
    </row>
    <row r="168" spans="1:17" x14ac:dyDescent="0.3">
      <c r="A168" s="60"/>
      <c r="B168" s="60"/>
      <c r="C168" s="60"/>
      <c r="D168" s="60"/>
      <c r="E168" s="60"/>
      <c r="F168" s="60"/>
      <c r="G168" s="60"/>
      <c r="H168" s="60"/>
      <c r="I168" s="60"/>
      <c r="J168" s="60"/>
      <c r="K168" s="60"/>
      <c r="L168" s="60"/>
      <c r="M168" s="60"/>
      <c r="N168" s="60"/>
      <c r="O168" s="60"/>
      <c r="P168" s="60"/>
      <c r="Q168" s="60"/>
    </row>
    <row r="169" spans="1:17" x14ac:dyDescent="0.3">
      <c r="A169" s="60"/>
      <c r="B169" s="60" t="s">
        <v>183</v>
      </c>
      <c r="C169" s="60"/>
      <c r="D169" s="60"/>
      <c r="E169" s="60"/>
      <c r="F169" s="60"/>
      <c r="G169" s="60"/>
      <c r="H169" s="60"/>
      <c r="I169" s="60"/>
      <c r="J169" s="60"/>
      <c r="K169" s="60"/>
      <c r="L169" s="60"/>
      <c r="M169" s="60"/>
      <c r="N169" s="60"/>
      <c r="O169" s="60"/>
      <c r="P169" s="60"/>
      <c r="Q169" s="60"/>
    </row>
    <row r="170" spans="1:17" x14ac:dyDescent="0.3">
      <c r="A170" s="60"/>
      <c r="B170" s="60" t="s">
        <v>114</v>
      </c>
      <c r="C170" s="60"/>
      <c r="D170" s="60"/>
      <c r="E170" s="60"/>
      <c r="F170" s="60"/>
      <c r="G170" s="60"/>
      <c r="H170" s="60"/>
      <c r="I170" s="60"/>
      <c r="J170" s="60"/>
      <c r="K170" s="60"/>
      <c r="L170" s="60"/>
      <c r="M170" s="60"/>
      <c r="N170" s="60"/>
      <c r="O170" s="60"/>
      <c r="P170" s="60"/>
      <c r="Q170" s="60"/>
    </row>
    <row r="171" spans="1:17" x14ac:dyDescent="0.3">
      <c r="A171" s="60"/>
      <c r="B171" s="60"/>
      <c r="C171" s="60"/>
      <c r="D171" s="60"/>
      <c r="E171" s="60"/>
      <c r="F171" s="60"/>
      <c r="G171" s="60"/>
      <c r="H171" s="60"/>
      <c r="I171" s="60"/>
      <c r="J171" s="60"/>
      <c r="K171" s="60"/>
      <c r="L171" s="60"/>
      <c r="M171" s="60"/>
      <c r="N171" s="60"/>
      <c r="O171" s="60"/>
      <c r="P171" s="60"/>
      <c r="Q171" s="60"/>
    </row>
    <row r="172" spans="1:17" x14ac:dyDescent="0.3">
      <c r="A172" s="60"/>
      <c r="B172" s="60"/>
      <c r="C172" s="136" t="s">
        <v>184</v>
      </c>
      <c r="D172" s="136"/>
      <c r="E172" s="136"/>
      <c r="F172" s="136"/>
      <c r="G172" s="136"/>
      <c r="H172" s="136"/>
      <c r="I172" s="136"/>
      <c r="J172" s="136"/>
      <c r="K172" s="60"/>
      <c r="L172" s="60"/>
      <c r="M172" s="60"/>
      <c r="N172" s="60"/>
      <c r="O172" s="60"/>
      <c r="P172" s="60"/>
      <c r="Q172" s="60"/>
    </row>
    <row r="173" spans="1:17" x14ac:dyDescent="0.3">
      <c r="A173" s="60"/>
      <c r="B173" s="60"/>
      <c r="C173" s="60"/>
      <c r="D173" s="60"/>
      <c r="E173" s="60"/>
      <c r="F173" s="60"/>
      <c r="G173" s="60"/>
      <c r="H173" s="60"/>
      <c r="I173" s="60"/>
      <c r="J173" s="60"/>
      <c r="K173" s="60"/>
      <c r="L173" s="60"/>
      <c r="M173" s="60"/>
      <c r="N173" s="60"/>
      <c r="O173" s="60"/>
      <c r="P173" s="60"/>
      <c r="Q173" s="60"/>
    </row>
    <row r="174" spans="1:17" x14ac:dyDescent="0.3">
      <c r="A174" s="60"/>
      <c r="B174" s="60"/>
      <c r="C174" s="66" t="s">
        <v>93</v>
      </c>
      <c r="D174" s="60" t="s">
        <v>115</v>
      </c>
      <c r="E174" s="60"/>
      <c r="F174" s="60"/>
      <c r="G174" s="60"/>
      <c r="H174" s="60"/>
      <c r="I174" s="60"/>
      <c r="J174" s="60"/>
      <c r="K174" s="60"/>
      <c r="L174" s="60"/>
      <c r="M174" s="60"/>
      <c r="N174" s="60"/>
      <c r="O174" s="60"/>
      <c r="P174" s="60"/>
      <c r="Q174" s="60"/>
    </row>
    <row r="175" spans="1:17" x14ac:dyDescent="0.3">
      <c r="A175" s="60"/>
      <c r="B175" s="60"/>
      <c r="C175" s="60"/>
      <c r="D175" s="60" t="s">
        <v>116</v>
      </c>
      <c r="E175" s="60"/>
      <c r="F175" s="60"/>
      <c r="G175" s="60"/>
      <c r="H175" s="60"/>
      <c r="I175" s="60"/>
      <c r="J175" s="60"/>
      <c r="K175" s="60"/>
      <c r="L175" s="60"/>
      <c r="M175" s="60"/>
      <c r="N175" s="60"/>
      <c r="O175" s="60"/>
      <c r="P175" s="60"/>
      <c r="Q175" s="60"/>
    </row>
    <row r="176" spans="1:17" x14ac:dyDescent="0.3">
      <c r="A176" s="60"/>
      <c r="B176" s="60"/>
      <c r="C176" s="60"/>
      <c r="D176" s="60"/>
      <c r="E176" s="60"/>
      <c r="F176" s="60"/>
      <c r="G176" s="60"/>
      <c r="H176" s="60"/>
      <c r="I176" s="60"/>
      <c r="J176" s="60"/>
      <c r="K176" s="60"/>
      <c r="L176" s="60"/>
      <c r="M176" s="60"/>
      <c r="N176" s="60"/>
      <c r="O176" s="60"/>
      <c r="P176" s="60"/>
      <c r="Q176" s="60"/>
    </row>
    <row r="177" spans="1:17" x14ac:dyDescent="0.3">
      <c r="A177" s="60"/>
      <c r="B177" s="60"/>
      <c r="C177" s="60"/>
      <c r="D177" s="60"/>
      <c r="E177" s="60"/>
      <c r="F177" s="60"/>
      <c r="G177" s="60"/>
      <c r="H177" s="60"/>
      <c r="I177" s="60"/>
      <c r="J177" s="60"/>
      <c r="K177" s="60"/>
      <c r="L177" s="60"/>
      <c r="M177" s="60"/>
      <c r="N177" s="60"/>
      <c r="O177" s="60"/>
      <c r="P177" s="60"/>
      <c r="Q177" s="60"/>
    </row>
    <row r="178" spans="1:17" x14ac:dyDescent="0.3">
      <c r="A178" s="60"/>
      <c r="B178" s="60"/>
      <c r="C178" s="60"/>
      <c r="D178" s="60"/>
      <c r="E178" s="60"/>
      <c r="F178" s="60"/>
      <c r="G178" s="60"/>
      <c r="H178" s="60"/>
      <c r="I178" s="60"/>
      <c r="J178" s="60"/>
      <c r="K178" s="60"/>
      <c r="L178" s="60"/>
      <c r="M178" s="60"/>
      <c r="N178" s="60"/>
      <c r="O178" s="60"/>
      <c r="P178" s="60"/>
      <c r="Q178" s="60"/>
    </row>
    <row r="179" spans="1:17" x14ac:dyDescent="0.3">
      <c r="A179" s="60"/>
      <c r="B179" s="60"/>
      <c r="C179" s="60"/>
      <c r="D179" s="60"/>
      <c r="E179" s="60"/>
      <c r="F179" s="60"/>
      <c r="G179" s="60"/>
      <c r="H179" s="60"/>
      <c r="I179" s="60"/>
      <c r="J179" s="60"/>
      <c r="K179" s="60"/>
      <c r="L179" s="60"/>
      <c r="M179" s="60"/>
      <c r="N179" s="60"/>
      <c r="O179" s="60"/>
      <c r="P179" s="60"/>
      <c r="Q179" s="60"/>
    </row>
    <row r="180" spans="1:17" x14ac:dyDescent="0.3">
      <c r="A180" s="60"/>
      <c r="B180" s="60"/>
      <c r="C180" s="60"/>
      <c r="D180" s="60"/>
      <c r="E180" s="60"/>
      <c r="F180" s="60"/>
      <c r="G180" s="60"/>
      <c r="H180" s="60"/>
      <c r="I180" s="60"/>
      <c r="J180" s="60"/>
      <c r="K180" s="60"/>
      <c r="L180" s="60"/>
      <c r="M180" s="60"/>
      <c r="N180" s="60"/>
      <c r="O180" s="60"/>
      <c r="P180" s="60"/>
      <c r="Q180" s="60"/>
    </row>
    <row r="181" spans="1:17" x14ac:dyDescent="0.3">
      <c r="A181" s="60"/>
      <c r="B181" s="60"/>
      <c r="C181" s="60"/>
      <c r="D181" s="60"/>
      <c r="E181" s="60"/>
      <c r="F181" s="60"/>
      <c r="G181" s="60"/>
      <c r="H181" s="60"/>
      <c r="I181" s="60"/>
      <c r="J181" s="60"/>
      <c r="K181" s="60"/>
      <c r="L181" s="60"/>
      <c r="M181" s="60"/>
      <c r="N181" s="60"/>
      <c r="O181" s="60"/>
      <c r="P181" s="60"/>
      <c r="Q181" s="60"/>
    </row>
    <row r="182" spans="1:17" x14ac:dyDescent="0.3">
      <c r="A182" s="60"/>
      <c r="B182" s="60"/>
      <c r="C182" s="60"/>
      <c r="D182" s="60"/>
      <c r="E182" s="60"/>
      <c r="F182" s="60"/>
      <c r="G182" s="60"/>
      <c r="H182" s="60"/>
      <c r="I182" s="60"/>
      <c r="J182" s="60"/>
      <c r="K182" s="60"/>
      <c r="L182" s="60"/>
      <c r="M182" s="60"/>
      <c r="N182" s="60"/>
      <c r="O182" s="60"/>
      <c r="P182" s="60"/>
      <c r="Q182" s="60"/>
    </row>
    <row r="183" spans="1:17" x14ac:dyDescent="0.3">
      <c r="A183" s="60"/>
      <c r="B183" s="60"/>
      <c r="C183" s="60"/>
      <c r="D183" s="60"/>
      <c r="E183" s="60"/>
      <c r="F183" s="60"/>
      <c r="G183" s="60"/>
      <c r="H183" s="60"/>
      <c r="I183" s="60"/>
      <c r="J183" s="60"/>
      <c r="K183" s="60"/>
      <c r="L183" s="60"/>
      <c r="M183" s="60"/>
      <c r="N183" s="60"/>
      <c r="O183" s="60"/>
      <c r="P183" s="60"/>
      <c r="Q183" s="60"/>
    </row>
    <row r="184" spans="1:17" x14ac:dyDescent="0.3">
      <c r="A184" s="60"/>
      <c r="B184" s="60"/>
      <c r="C184" s="60"/>
      <c r="D184" s="60"/>
      <c r="E184" s="60"/>
      <c r="F184" s="60"/>
      <c r="G184" s="60"/>
      <c r="H184" s="60"/>
      <c r="I184" s="60"/>
      <c r="J184" s="60"/>
      <c r="K184" s="60"/>
      <c r="L184" s="60"/>
      <c r="M184" s="60"/>
      <c r="N184" s="60"/>
      <c r="O184" s="60"/>
      <c r="P184" s="60"/>
      <c r="Q184" s="60"/>
    </row>
    <row r="185" spans="1:17" x14ac:dyDescent="0.3">
      <c r="A185" s="60"/>
      <c r="B185" s="60"/>
      <c r="C185" s="60"/>
      <c r="D185" s="60"/>
      <c r="E185" s="60"/>
      <c r="F185" s="60"/>
      <c r="G185" s="60"/>
      <c r="H185" s="60"/>
      <c r="I185" s="60"/>
      <c r="J185" s="60"/>
      <c r="K185" s="60"/>
      <c r="L185" s="60"/>
      <c r="M185" s="60"/>
      <c r="N185" s="60"/>
      <c r="O185" s="60"/>
      <c r="P185" s="60"/>
      <c r="Q185" s="60"/>
    </row>
    <row r="186" spans="1:17" x14ac:dyDescent="0.3">
      <c r="A186" s="60"/>
      <c r="B186" s="60"/>
      <c r="C186" s="60"/>
      <c r="D186" s="60"/>
      <c r="E186" s="60"/>
      <c r="F186" s="60"/>
      <c r="G186" s="60"/>
      <c r="H186" s="60"/>
      <c r="I186" s="60"/>
      <c r="J186" s="60"/>
      <c r="K186" s="60"/>
      <c r="L186" s="60"/>
      <c r="M186" s="60"/>
      <c r="N186" s="60"/>
      <c r="O186" s="60"/>
      <c r="P186" s="60"/>
      <c r="Q186" s="60"/>
    </row>
    <row r="187" spans="1:17" x14ac:dyDescent="0.3">
      <c r="A187" s="60"/>
      <c r="B187" s="60"/>
      <c r="C187" s="60"/>
      <c r="D187" s="60"/>
      <c r="E187" s="60"/>
      <c r="F187" s="60"/>
      <c r="G187" s="60"/>
      <c r="H187" s="60"/>
      <c r="I187" s="60"/>
      <c r="J187" s="60"/>
      <c r="K187" s="60"/>
      <c r="L187" s="60"/>
      <c r="M187" s="60"/>
      <c r="N187" s="60"/>
      <c r="O187" s="60"/>
      <c r="P187" s="60"/>
      <c r="Q187" s="60"/>
    </row>
  </sheetData>
  <sheetProtection algorithmName="SHA-512" hashValue="SDwiVgS046k6U44MAyPExkp2zLJ0cpAEf4IToo3J6hGYPx3wid3FEdS5iyWfNZdogxApA2MKZYaux6VKCRU3ag==" saltValue="8JhAnWMRdg13N7fxFPNDTQ==" spinCount="100000" sheet="1" objects="1" scenarios="1"/>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4" tint="0.59999389629810485"/>
  </sheetPr>
  <dimension ref="A1:XFB1048570"/>
  <sheetViews>
    <sheetView showGridLines="0" topLeftCell="A58" zoomScaleNormal="100" workbookViewId="0">
      <selection activeCell="E19" sqref="E19"/>
    </sheetView>
  </sheetViews>
  <sheetFormatPr baseColWidth="10" defaultRowHeight="14.4" x14ac:dyDescent="0.3"/>
  <cols>
    <col min="1" max="1" width="3.33203125" style="1" customWidth="1"/>
    <col min="2" max="2" width="4.44140625" style="1" customWidth="1"/>
    <col min="3" max="3" width="26.5546875" style="1" customWidth="1"/>
    <col min="4" max="4" width="13.44140625" style="124" bestFit="1" customWidth="1"/>
    <col min="5" max="5" width="12" style="1" bestFit="1" customWidth="1"/>
    <col min="6" max="6" width="11.44140625" style="1"/>
    <col min="7" max="7" width="7" style="1" customWidth="1"/>
    <col min="8" max="8" width="28.44140625" style="1" customWidth="1"/>
    <col min="9" max="9" width="14.109375" style="1" customWidth="1"/>
    <col min="10" max="10" width="8.5546875" style="1" customWidth="1"/>
    <col min="11" max="11" width="12" style="1" customWidth="1"/>
    <col min="12" max="12" width="32.33203125" style="1" bestFit="1" customWidth="1"/>
    <col min="13" max="13" width="13.6640625" style="1" customWidth="1"/>
    <col min="14" max="14" width="15.44140625" style="1" customWidth="1"/>
    <col min="15" max="16378" width="11.44140625" style="1"/>
    <col min="16379" max="16379" width="13.44140625" style="1" bestFit="1" customWidth="1"/>
    <col min="16380" max="16380" width="15.6640625" style="1" bestFit="1" customWidth="1"/>
    <col min="16381" max="16381" width="12.44140625" style="1" bestFit="1" customWidth="1"/>
    <col min="16382" max="16384" width="11.44140625" style="1"/>
  </cols>
  <sheetData>
    <row r="1" spans="1:13" x14ac:dyDescent="0.3">
      <c r="A1" s="275"/>
      <c r="B1" s="275"/>
      <c r="C1" s="275"/>
      <c r="D1" s="275"/>
      <c r="E1" s="275"/>
      <c r="F1" s="275"/>
      <c r="G1" s="275"/>
      <c r="H1" s="275"/>
      <c r="I1" s="275"/>
      <c r="J1" s="275"/>
      <c r="K1" s="275"/>
      <c r="L1" s="275"/>
      <c r="M1" s="275"/>
    </row>
    <row r="2" spans="1:13" ht="24" customHeight="1" x14ac:dyDescent="0.3">
      <c r="A2" s="275"/>
      <c r="B2" s="275"/>
      <c r="C2" s="275"/>
      <c r="D2" s="275"/>
      <c r="E2" s="275"/>
      <c r="F2" s="275"/>
      <c r="G2" s="275"/>
      <c r="H2" s="275"/>
      <c r="I2" s="275"/>
      <c r="J2" s="275"/>
      <c r="K2" s="275"/>
      <c r="L2" s="275"/>
      <c r="M2" s="275"/>
    </row>
    <row r="3" spans="1:13" ht="18.75" customHeight="1" x14ac:dyDescent="0.3">
      <c r="A3" s="275"/>
      <c r="B3" s="275"/>
      <c r="C3" s="275"/>
      <c r="D3" s="275"/>
      <c r="E3" s="275"/>
      <c r="F3" s="275"/>
      <c r="G3" s="275"/>
      <c r="H3" s="275"/>
      <c r="I3" s="275"/>
      <c r="J3" s="275"/>
      <c r="K3" s="275"/>
      <c r="L3" s="275"/>
      <c r="M3" s="275"/>
    </row>
    <row r="4" spans="1:13" x14ac:dyDescent="0.3">
      <c r="A4" s="275"/>
      <c r="B4" s="275"/>
      <c r="C4" s="275"/>
      <c r="D4" s="275"/>
      <c r="E4" s="275"/>
      <c r="F4" s="275"/>
      <c r="G4" s="275"/>
      <c r="H4" s="275"/>
      <c r="I4" s="275"/>
      <c r="J4" s="275"/>
      <c r="K4" s="275"/>
      <c r="L4" s="275"/>
      <c r="M4" s="275"/>
    </row>
    <row r="5" spans="1:13" ht="18" customHeight="1" x14ac:dyDescent="0.3">
      <c r="A5" s="275"/>
      <c r="B5" s="275"/>
      <c r="C5" s="275"/>
      <c r="D5" s="275"/>
      <c r="E5" s="275"/>
      <c r="F5" s="275"/>
      <c r="G5" s="275"/>
      <c r="H5" s="275"/>
      <c r="I5" s="275"/>
      <c r="J5" s="275"/>
      <c r="K5" s="275"/>
      <c r="L5" s="275"/>
      <c r="M5" s="275"/>
    </row>
    <row r="6" spans="1:13" ht="25.8" customHeight="1" x14ac:dyDescent="0.3">
      <c r="A6" s="275"/>
      <c r="B6" s="275"/>
      <c r="C6" s="275"/>
      <c r="D6" s="275"/>
      <c r="E6" s="275"/>
      <c r="F6" s="275"/>
      <c r="G6" s="275"/>
      <c r="H6" s="275"/>
      <c r="I6" s="275"/>
      <c r="J6" s="275"/>
      <c r="K6" s="275"/>
      <c r="L6" s="275"/>
      <c r="M6" s="275"/>
    </row>
    <row r="7" spans="1:13" ht="15" thickBot="1" x14ac:dyDescent="0.35">
      <c r="C7" s="25"/>
      <c r="D7" s="125"/>
      <c r="E7" s="25"/>
      <c r="F7" s="25"/>
      <c r="G7" s="25"/>
      <c r="H7" s="25"/>
      <c r="I7" s="25"/>
      <c r="J7" s="25"/>
      <c r="K7" s="25"/>
    </row>
    <row r="8" spans="1:13" ht="15.75" customHeight="1" thickBot="1" x14ac:dyDescent="0.35">
      <c r="C8" s="276"/>
      <c r="D8" s="198" t="s">
        <v>209</v>
      </c>
      <c r="E8" s="199"/>
      <c r="F8" s="199"/>
      <c r="G8" s="200"/>
      <c r="H8" s="201" t="s">
        <v>129</v>
      </c>
      <c r="I8" s="269"/>
      <c r="J8" s="270"/>
      <c r="K8" s="25"/>
    </row>
    <row r="9" spans="1:13" ht="15" customHeight="1" thickBot="1" x14ac:dyDescent="0.5">
      <c r="C9" s="276"/>
      <c r="D9" s="202"/>
      <c r="E9" s="203"/>
      <c r="F9" s="203"/>
      <c r="G9" s="204"/>
      <c r="H9" s="205" t="s">
        <v>133</v>
      </c>
      <c r="I9" s="271"/>
      <c r="J9" s="272"/>
      <c r="K9" s="25"/>
    </row>
    <row r="10" spans="1:13" ht="15.75" customHeight="1" thickBot="1" x14ac:dyDescent="0.5">
      <c r="C10" s="276"/>
      <c r="D10" s="206" t="s">
        <v>208</v>
      </c>
      <c r="E10" s="277"/>
      <c r="F10" s="277"/>
      <c r="G10" s="278"/>
      <c r="H10" s="207" t="s">
        <v>131</v>
      </c>
      <c r="I10" s="273"/>
      <c r="J10" s="274"/>
      <c r="K10" s="25"/>
    </row>
    <row r="11" spans="1:13" x14ac:dyDescent="0.3">
      <c r="C11" s="25"/>
      <c r="D11" s="125"/>
      <c r="E11" s="25"/>
      <c r="F11" s="25"/>
      <c r="G11" s="25"/>
      <c r="H11" s="25"/>
      <c r="I11" s="25"/>
      <c r="J11" s="25"/>
      <c r="K11" s="25"/>
    </row>
    <row r="12" spans="1:13" x14ac:dyDescent="0.3">
      <c r="C12" s="25"/>
      <c r="D12" s="125"/>
      <c r="E12" s="25"/>
      <c r="F12" s="25"/>
      <c r="G12" s="25"/>
      <c r="H12" s="25"/>
      <c r="I12" s="25"/>
      <c r="J12" s="25"/>
      <c r="K12" s="25"/>
    </row>
    <row r="13" spans="1:13" x14ac:dyDescent="0.3">
      <c r="E13" s="268"/>
      <c r="F13" s="268"/>
      <c r="G13" s="268"/>
      <c r="H13" s="268"/>
      <c r="K13" s="4"/>
    </row>
    <row r="14" spans="1:13" ht="15" customHeight="1" x14ac:dyDescent="0.3">
      <c r="B14" s="26"/>
      <c r="C14" s="26"/>
      <c r="D14" s="126"/>
      <c r="E14" s="268"/>
      <c r="F14" s="268"/>
      <c r="G14" s="268"/>
      <c r="H14" s="268"/>
      <c r="K14" s="4"/>
    </row>
    <row r="15" spans="1:13" ht="15" customHeight="1" x14ac:dyDescent="0.3">
      <c r="B15" s="26"/>
      <c r="C15" s="26"/>
      <c r="D15" s="126"/>
      <c r="E15" s="26"/>
      <c r="F15" s="26"/>
      <c r="G15" s="26"/>
    </row>
    <row r="16" spans="1:13" x14ac:dyDescent="0.3">
      <c r="C16" s="27"/>
      <c r="D16" s="127"/>
      <c r="E16" s="27"/>
      <c r="F16" s="27"/>
      <c r="G16" s="27"/>
    </row>
    <row r="17" spans="2:23" ht="15" thickBot="1" x14ac:dyDescent="0.35">
      <c r="G17" s="28"/>
    </row>
    <row r="18" spans="2:23" ht="15" thickBot="1" x14ac:dyDescent="0.35">
      <c r="B18" s="208" t="s">
        <v>34</v>
      </c>
      <c r="C18" s="209" t="s">
        <v>132</v>
      </c>
      <c r="D18" s="210" t="s">
        <v>97</v>
      </c>
      <c r="E18" s="211" t="s">
        <v>124</v>
      </c>
      <c r="F18" s="211" t="s">
        <v>36</v>
      </c>
      <c r="G18" s="28"/>
      <c r="K18" s="213" t="s">
        <v>1</v>
      </c>
      <c r="L18" s="214" t="s">
        <v>35</v>
      </c>
      <c r="M18" s="215" t="s">
        <v>8</v>
      </c>
    </row>
    <row r="19" spans="2:23" x14ac:dyDescent="0.3">
      <c r="B19" s="251">
        <v>1</v>
      </c>
      <c r="C19" s="255"/>
      <c r="D19" s="153"/>
      <c r="E19" s="253"/>
      <c r="F19" s="112"/>
      <c r="G19" s="28"/>
      <c r="H19" s="4"/>
      <c r="I19" s="155"/>
      <c r="J19" s="4"/>
      <c r="K19" s="118"/>
      <c r="L19" s="192"/>
      <c r="M19" s="193"/>
      <c r="N19" s="4"/>
      <c r="O19" s="4"/>
      <c r="P19" s="4"/>
      <c r="Q19" s="4"/>
      <c r="R19" s="4"/>
      <c r="S19" s="4"/>
      <c r="T19" s="4"/>
      <c r="U19" s="4"/>
      <c r="V19" s="4"/>
      <c r="W19" s="4"/>
    </row>
    <row r="20" spans="2:23" x14ac:dyDescent="0.3">
      <c r="B20" s="252">
        <f>1+B19</f>
        <v>2</v>
      </c>
      <c r="C20" s="256"/>
      <c r="D20" s="154"/>
      <c r="E20" s="253"/>
      <c r="F20" s="58"/>
      <c r="G20" s="28"/>
      <c r="H20" s="4"/>
      <c r="I20" s="4"/>
      <c r="J20" s="4"/>
      <c r="K20" s="29"/>
      <c r="L20" s="216" t="s">
        <v>73</v>
      </c>
      <c r="M20" s="30"/>
      <c r="N20" s="4"/>
      <c r="O20" s="4"/>
      <c r="P20" s="4"/>
      <c r="Q20" s="4"/>
      <c r="R20" s="4"/>
      <c r="S20" s="4"/>
      <c r="T20" s="4"/>
      <c r="U20" s="4"/>
      <c r="V20" s="4"/>
      <c r="W20" s="4"/>
    </row>
    <row r="21" spans="2:23" x14ac:dyDescent="0.3">
      <c r="B21" s="252">
        <f t="shared" ref="B21:B84" si="0">1+B20</f>
        <v>3</v>
      </c>
      <c r="C21" s="256"/>
      <c r="D21" s="154"/>
      <c r="E21" s="253"/>
      <c r="F21" s="58"/>
      <c r="G21" s="28"/>
      <c r="H21" s="212" t="s">
        <v>121</v>
      </c>
      <c r="I21" s="212" t="s">
        <v>5</v>
      </c>
      <c r="J21" s="4"/>
      <c r="K21" s="29"/>
      <c r="L21" s="216"/>
      <c r="M21" s="30"/>
      <c r="N21" s="4"/>
      <c r="O21" s="4"/>
      <c r="P21" s="4"/>
      <c r="Q21" s="4"/>
      <c r="R21" s="4"/>
      <c r="S21" s="4"/>
      <c r="T21" s="4"/>
      <c r="U21" s="4"/>
      <c r="V21" s="4"/>
      <c r="W21" s="4"/>
    </row>
    <row r="22" spans="2:23" x14ac:dyDescent="0.3">
      <c r="B22" s="252">
        <f t="shared" si="0"/>
        <v>4</v>
      </c>
      <c r="C22" s="256"/>
      <c r="D22" s="154"/>
      <c r="E22" s="253"/>
      <c r="F22" s="58"/>
      <c r="G22" s="28"/>
      <c r="H22" s="221" t="s">
        <v>210</v>
      </c>
      <c r="I22" s="141"/>
      <c r="J22" s="4"/>
      <c r="K22" s="29"/>
      <c r="L22" s="217" t="s">
        <v>137</v>
      </c>
      <c r="M22" s="30"/>
      <c r="N22" s="4"/>
      <c r="O22" s="4"/>
      <c r="P22" s="4"/>
      <c r="Q22" s="4"/>
      <c r="R22" s="4"/>
      <c r="S22" s="4"/>
      <c r="T22" s="4"/>
      <c r="U22" s="4"/>
      <c r="V22" s="4"/>
      <c r="W22" s="4"/>
    </row>
    <row r="23" spans="2:23" x14ac:dyDescent="0.3">
      <c r="B23" s="252">
        <f t="shared" si="0"/>
        <v>5</v>
      </c>
      <c r="C23" s="257"/>
      <c r="D23" s="152"/>
      <c r="E23" s="253"/>
      <c r="F23" s="58"/>
      <c r="G23" s="28"/>
      <c r="H23" s="140"/>
      <c r="I23" s="141"/>
      <c r="J23" s="4"/>
      <c r="K23" s="29"/>
      <c r="L23" s="217" t="s">
        <v>152</v>
      </c>
      <c r="M23" s="30"/>
      <c r="N23" s="4"/>
      <c r="O23" s="4"/>
      <c r="P23" s="4"/>
      <c r="Q23" s="4"/>
      <c r="R23" s="4"/>
      <c r="S23" s="4"/>
      <c r="T23" s="4"/>
      <c r="U23" s="4"/>
      <c r="V23" s="4"/>
      <c r="W23" s="4"/>
    </row>
    <row r="24" spans="2:23" x14ac:dyDescent="0.3">
      <c r="B24" s="252">
        <f t="shared" si="0"/>
        <v>6</v>
      </c>
      <c r="C24" s="256"/>
      <c r="D24" s="154"/>
      <c r="E24" s="253"/>
      <c r="F24" s="58"/>
      <c r="G24" s="28"/>
      <c r="H24" s="140"/>
      <c r="I24" s="141"/>
      <c r="J24" s="4"/>
      <c r="K24" s="29"/>
      <c r="L24" s="217" t="s">
        <v>77</v>
      </c>
      <c r="M24" s="30"/>
      <c r="N24" s="4"/>
      <c r="O24" s="4"/>
      <c r="P24" s="4"/>
      <c r="Q24" s="4"/>
      <c r="R24" s="4"/>
      <c r="S24" s="4"/>
      <c r="T24" s="4"/>
      <c r="U24" s="4"/>
      <c r="V24" s="4"/>
      <c r="W24" s="4"/>
    </row>
    <row r="25" spans="2:23" x14ac:dyDescent="0.3">
      <c r="B25" s="252">
        <f t="shared" si="0"/>
        <v>7</v>
      </c>
      <c r="C25" s="256"/>
      <c r="D25" s="154"/>
      <c r="E25" s="253"/>
      <c r="F25" s="58"/>
      <c r="G25" s="28"/>
      <c r="H25" s="140"/>
      <c r="I25" s="141"/>
      <c r="J25" s="4"/>
      <c r="K25" s="29"/>
      <c r="L25" s="217" t="s">
        <v>79</v>
      </c>
      <c r="M25" s="30"/>
      <c r="N25" s="4"/>
      <c r="O25" s="4"/>
      <c r="P25" s="4"/>
      <c r="Q25" s="4"/>
      <c r="R25" s="4"/>
      <c r="S25" s="4"/>
      <c r="T25" s="4"/>
      <c r="U25" s="4"/>
      <c r="V25" s="4"/>
      <c r="W25" s="4"/>
    </row>
    <row r="26" spans="2:23" x14ac:dyDescent="0.3">
      <c r="B26" s="252">
        <f t="shared" si="0"/>
        <v>8</v>
      </c>
      <c r="C26" s="256"/>
      <c r="D26" s="154"/>
      <c r="E26" s="253"/>
      <c r="F26" s="58"/>
      <c r="G26" s="28"/>
      <c r="H26" s="142"/>
      <c r="I26" s="143"/>
      <c r="J26" s="4"/>
      <c r="K26" s="29"/>
      <c r="L26" s="217" t="s">
        <v>78</v>
      </c>
      <c r="M26" s="30"/>
      <c r="N26" s="4"/>
      <c r="O26" s="4"/>
      <c r="P26" s="4"/>
      <c r="Q26" s="4"/>
      <c r="R26" s="4"/>
      <c r="S26" s="4"/>
      <c r="T26" s="4"/>
      <c r="U26" s="4"/>
      <c r="V26" s="4"/>
      <c r="W26" s="4"/>
    </row>
    <row r="27" spans="2:23" x14ac:dyDescent="0.3">
      <c r="B27" s="252">
        <f t="shared" si="0"/>
        <v>9</v>
      </c>
      <c r="C27" s="256"/>
      <c r="D27" s="154"/>
      <c r="E27" s="253"/>
      <c r="F27" s="58"/>
      <c r="G27" s="28"/>
      <c r="H27" s="142"/>
      <c r="I27" s="143"/>
      <c r="J27" s="4"/>
      <c r="K27" s="29"/>
      <c r="L27" s="217" t="s">
        <v>151</v>
      </c>
      <c r="M27" s="30"/>
      <c r="N27" s="4"/>
      <c r="O27" s="4"/>
      <c r="P27" s="4"/>
      <c r="Q27" s="4"/>
      <c r="R27" s="4"/>
      <c r="S27" s="4"/>
      <c r="T27" s="4"/>
      <c r="U27" s="4"/>
      <c r="V27" s="4"/>
      <c r="W27" s="4"/>
    </row>
    <row r="28" spans="2:23" x14ac:dyDescent="0.3">
      <c r="B28" s="252">
        <f t="shared" si="0"/>
        <v>10</v>
      </c>
      <c r="C28" s="256"/>
      <c r="D28" s="154"/>
      <c r="E28" s="253"/>
      <c r="F28" s="58"/>
      <c r="G28" s="28"/>
      <c r="H28" s="144"/>
      <c r="I28" s="145"/>
      <c r="J28" s="4"/>
      <c r="K28" s="29"/>
      <c r="L28" s="194"/>
      <c r="M28" s="31"/>
      <c r="N28" s="4"/>
      <c r="O28" s="4"/>
      <c r="P28" s="4"/>
      <c r="Q28" s="4"/>
      <c r="R28" s="4"/>
      <c r="S28" s="4"/>
      <c r="T28" s="4"/>
      <c r="U28" s="4"/>
      <c r="V28" s="4"/>
      <c r="W28" s="4"/>
    </row>
    <row r="29" spans="2:23" x14ac:dyDescent="0.3">
      <c r="B29" s="252">
        <f t="shared" si="0"/>
        <v>11</v>
      </c>
      <c r="C29" s="257"/>
      <c r="D29" s="152"/>
      <c r="E29" s="253"/>
      <c r="F29" s="58"/>
      <c r="G29" s="28"/>
      <c r="H29" s="146"/>
      <c r="I29" s="147"/>
      <c r="J29" s="4"/>
      <c r="K29" s="113"/>
      <c r="L29" s="216" t="s">
        <v>186</v>
      </c>
      <c r="M29" s="30"/>
      <c r="N29" s="4"/>
      <c r="O29" s="4"/>
      <c r="P29" s="4"/>
      <c r="Q29" s="4"/>
      <c r="R29" s="4"/>
      <c r="S29" s="4"/>
      <c r="T29" s="4"/>
      <c r="U29" s="4"/>
      <c r="V29" s="4"/>
      <c r="W29" s="4"/>
    </row>
    <row r="30" spans="2:23" x14ac:dyDescent="0.3">
      <c r="B30" s="252">
        <f t="shared" si="0"/>
        <v>12</v>
      </c>
      <c r="C30" s="256"/>
      <c r="D30" s="154"/>
      <c r="E30" s="253"/>
      <c r="F30" s="58"/>
      <c r="G30" s="28"/>
      <c r="H30" s="165"/>
      <c r="I30" s="166"/>
      <c r="J30" s="4"/>
      <c r="K30" s="162"/>
      <c r="L30" s="163"/>
      <c r="M30" s="164"/>
      <c r="N30" s="4"/>
      <c r="O30" s="4"/>
      <c r="P30" s="4"/>
      <c r="Q30" s="4"/>
      <c r="R30" s="4"/>
      <c r="S30" s="4"/>
      <c r="T30" s="4"/>
      <c r="U30" s="4"/>
      <c r="V30" s="4"/>
      <c r="W30" s="4"/>
    </row>
    <row r="31" spans="2:23" x14ac:dyDescent="0.3">
      <c r="B31" s="252">
        <f t="shared" si="0"/>
        <v>13</v>
      </c>
      <c r="C31" s="256"/>
      <c r="D31" s="154"/>
      <c r="E31" s="253"/>
      <c r="F31" s="58"/>
      <c r="G31" s="28"/>
      <c r="H31" s="165"/>
      <c r="I31" s="166"/>
      <c r="J31" s="4"/>
      <c r="K31" s="162"/>
      <c r="L31" s="216" t="s">
        <v>210</v>
      </c>
      <c r="M31" s="164"/>
      <c r="N31" s="4"/>
      <c r="O31" s="4"/>
      <c r="P31" s="4"/>
      <c r="Q31" s="4"/>
      <c r="R31" s="4"/>
      <c r="S31" s="4"/>
      <c r="T31" s="4"/>
      <c r="U31" s="4"/>
      <c r="V31" s="4"/>
      <c r="W31" s="4"/>
    </row>
    <row r="32" spans="2:23" x14ac:dyDescent="0.3">
      <c r="B32" s="252">
        <f t="shared" si="0"/>
        <v>14</v>
      </c>
      <c r="C32" s="256"/>
      <c r="D32" s="154"/>
      <c r="E32" s="253"/>
      <c r="F32" s="58"/>
      <c r="G32" s="28"/>
      <c r="H32" s="165"/>
      <c r="I32" s="166"/>
      <c r="J32" s="4"/>
      <c r="K32" s="162"/>
      <c r="L32" s="163"/>
      <c r="M32" s="164"/>
      <c r="N32" s="4"/>
      <c r="O32" s="4"/>
      <c r="P32" s="4"/>
      <c r="Q32" s="4"/>
      <c r="R32" s="4"/>
      <c r="S32" s="4"/>
      <c r="T32" s="4"/>
      <c r="U32" s="4"/>
      <c r="V32" s="4"/>
      <c r="W32" s="4"/>
    </row>
    <row r="33" spans="2:23" x14ac:dyDescent="0.3">
      <c r="B33" s="252">
        <f t="shared" si="0"/>
        <v>15</v>
      </c>
      <c r="C33" s="258"/>
      <c r="D33" s="154"/>
      <c r="E33" s="253"/>
      <c r="F33" s="58"/>
      <c r="G33" s="28"/>
      <c r="H33" s="165"/>
      <c r="I33" s="166"/>
      <c r="J33" s="4"/>
      <c r="K33" s="162"/>
      <c r="L33" s="163"/>
      <c r="M33" s="164"/>
      <c r="N33" s="4"/>
      <c r="O33" s="4"/>
      <c r="P33" s="4"/>
      <c r="Q33" s="4"/>
      <c r="R33" s="4"/>
      <c r="S33" s="4"/>
      <c r="T33" s="4"/>
      <c r="U33" s="4"/>
      <c r="V33" s="4"/>
      <c r="W33" s="4"/>
    </row>
    <row r="34" spans="2:23" x14ac:dyDescent="0.3">
      <c r="B34" s="252">
        <f t="shared" si="0"/>
        <v>16</v>
      </c>
      <c r="C34" s="256"/>
      <c r="D34" s="154"/>
      <c r="E34" s="253"/>
      <c r="F34" s="58"/>
      <c r="G34" s="28"/>
      <c r="H34" s="165"/>
      <c r="I34" s="166"/>
      <c r="J34" s="4"/>
      <c r="K34" s="162"/>
      <c r="L34" s="163"/>
      <c r="M34" s="164"/>
      <c r="N34" s="4"/>
      <c r="O34" s="4"/>
      <c r="P34" s="4"/>
      <c r="Q34" s="4"/>
      <c r="R34" s="4"/>
      <c r="S34" s="4"/>
      <c r="T34" s="4"/>
      <c r="U34" s="4"/>
      <c r="V34" s="4"/>
      <c r="W34" s="4"/>
    </row>
    <row r="35" spans="2:23" x14ac:dyDescent="0.3">
      <c r="B35" s="252">
        <f t="shared" si="0"/>
        <v>17</v>
      </c>
      <c r="C35" s="257"/>
      <c r="D35" s="259"/>
      <c r="E35" s="253"/>
      <c r="F35" s="58"/>
      <c r="G35" s="28"/>
      <c r="H35" s="165"/>
      <c r="I35" s="166"/>
      <c r="J35" s="4"/>
      <c r="K35" s="162"/>
      <c r="L35" s="163"/>
      <c r="M35" s="164"/>
      <c r="N35" s="4"/>
      <c r="O35" s="4"/>
      <c r="P35" s="4"/>
      <c r="Q35" s="4"/>
      <c r="R35" s="4"/>
      <c r="S35" s="4"/>
      <c r="T35" s="4"/>
      <c r="U35" s="4"/>
      <c r="V35" s="4"/>
      <c r="W35" s="4"/>
    </row>
    <row r="36" spans="2:23" x14ac:dyDescent="0.3">
      <c r="B36" s="252">
        <f t="shared" si="0"/>
        <v>18</v>
      </c>
      <c r="C36" s="260"/>
      <c r="D36" s="259"/>
      <c r="E36" s="253"/>
      <c r="F36" s="58"/>
      <c r="G36" s="28"/>
      <c r="H36" s="168"/>
      <c r="I36" s="169"/>
      <c r="J36" s="4"/>
      <c r="K36" s="162"/>
      <c r="L36" s="163"/>
      <c r="M36" s="164"/>
      <c r="N36" s="4"/>
      <c r="O36" s="4"/>
      <c r="P36" s="4"/>
      <c r="Q36" s="4"/>
      <c r="R36" s="4"/>
      <c r="S36" s="4"/>
      <c r="T36" s="4"/>
      <c r="U36" s="4"/>
      <c r="V36" s="4"/>
      <c r="W36" s="4"/>
    </row>
    <row r="37" spans="2:23" x14ac:dyDescent="0.3">
      <c r="B37" s="252">
        <f t="shared" si="0"/>
        <v>19</v>
      </c>
      <c r="C37" s="257"/>
      <c r="D37" s="259"/>
      <c r="E37" s="253"/>
      <c r="F37" s="58"/>
      <c r="G37" s="28"/>
      <c r="H37" s="222" t="s">
        <v>198</v>
      </c>
      <c r="I37" s="223">
        <f>+I36+I35+I34+I33+I32+I31+I30+I29+I28+I27+I26+I25+I24+I23+I22</f>
        <v>0</v>
      </c>
      <c r="J37" s="4"/>
      <c r="K37" s="162"/>
      <c r="L37" s="163"/>
      <c r="M37" s="164"/>
      <c r="N37" s="4"/>
      <c r="O37" s="4"/>
      <c r="P37" s="4"/>
      <c r="Q37" s="4"/>
      <c r="R37" s="4"/>
      <c r="S37" s="4"/>
      <c r="T37" s="4"/>
      <c r="U37" s="4"/>
      <c r="V37" s="4"/>
      <c r="W37" s="4"/>
    </row>
    <row r="38" spans="2:23" x14ac:dyDescent="0.3">
      <c r="B38" s="252">
        <f t="shared" si="0"/>
        <v>20</v>
      </c>
      <c r="C38" s="257"/>
      <c r="D38" s="259"/>
      <c r="E38" s="253"/>
      <c r="F38" s="58"/>
      <c r="G38" s="28"/>
      <c r="J38" s="4"/>
      <c r="K38" s="162"/>
      <c r="L38" s="163"/>
      <c r="M38" s="164"/>
      <c r="N38" s="4"/>
      <c r="O38" s="4"/>
      <c r="P38" s="4"/>
      <c r="Q38" s="4"/>
      <c r="R38" s="4"/>
      <c r="S38" s="4"/>
      <c r="T38" s="4"/>
      <c r="U38" s="4"/>
      <c r="V38" s="4"/>
      <c r="W38" s="4"/>
    </row>
    <row r="39" spans="2:23" x14ac:dyDescent="0.3">
      <c r="B39" s="252">
        <f t="shared" si="0"/>
        <v>21</v>
      </c>
      <c r="C39" s="257"/>
      <c r="D39" s="259"/>
      <c r="E39" s="253"/>
      <c r="F39" s="58"/>
      <c r="G39" s="28"/>
      <c r="H39" s="25"/>
      <c r="J39" s="4"/>
      <c r="K39" s="162"/>
      <c r="L39" s="163"/>
      <c r="M39" s="164"/>
      <c r="N39" s="4"/>
      <c r="O39" s="4"/>
      <c r="P39" s="4"/>
      <c r="Q39" s="4"/>
      <c r="R39" s="4"/>
      <c r="S39" s="4"/>
      <c r="T39" s="4"/>
      <c r="U39" s="4"/>
      <c r="V39" s="4"/>
      <c r="W39" s="4"/>
    </row>
    <row r="40" spans="2:23" x14ac:dyDescent="0.3">
      <c r="B40" s="252">
        <f t="shared" si="0"/>
        <v>22</v>
      </c>
      <c r="C40" s="257"/>
      <c r="D40" s="259"/>
      <c r="E40" s="253"/>
      <c r="F40" s="58"/>
      <c r="G40" s="28"/>
      <c r="H40" s="117"/>
      <c r="I40" s="4"/>
      <c r="J40" s="4"/>
      <c r="K40" s="148"/>
      <c r="L40" s="191"/>
      <c r="M40" s="30"/>
      <c r="N40" s="4"/>
      <c r="O40" s="4"/>
      <c r="P40" s="4"/>
      <c r="Q40" s="4"/>
      <c r="R40" s="4"/>
      <c r="S40" s="4"/>
      <c r="T40" s="4"/>
      <c r="U40" s="4"/>
      <c r="V40" s="4"/>
      <c r="W40" s="4"/>
    </row>
    <row r="41" spans="2:23" x14ac:dyDescent="0.3">
      <c r="B41" s="252">
        <f t="shared" si="0"/>
        <v>23</v>
      </c>
      <c r="C41" s="257"/>
      <c r="D41" s="259"/>
      <c r="E41" s="253"/>
      <c r="F41" s="58"/>
      <c r="G41" s="28"/>
      <c r="H41" s="117"/>
      <c r="I41" s="4"/>
      <c r="J41" s="4"/>
      <c r="K41" s="114"/>
      <c r="L41" s="36"/>
      <c r="M41" s="30"/>
      <c r="N41" s="4"/>
      <c r="O41" s="4"/>
      <c r="P41" s="4"/>
      <c r="Q41" s="4"/>
      <c r="R41" s="4"/>
      <c r="S41" s="4"/>
      <c r="T41" s="4"/>
      <c r="U41" s="4"/>
      <c r="V41" s="4"/>
      <c r="W41" s="4"/>
    </row>
    <row r="42" spans="2:23" x14ac:dyDescent="0.3">
      <c r="B42" s="252">
        <f t="shared" si="0"/>
        <v>24</v>
      </c>
      <c r="C42" s="257"/>
      <c r="D42" s="259"/>
      <c r="E42" s="253"/>
      <c r="F42" s="58"/>
      <c r="G42" s="28"/>
      <c r="H42" s="4"/>
      <c r="I42" s="4"/>
      <c r="J42" s="4"/>
      <c r="K42" s="114"/>
      <c r="L42" s="36"/>
      <c r="M42" s="30"/>
      <c r="N42" s="4"/>
      <c r="O42" s="4"/>
      <c r="P42" s="4"/>
      <c r="Q42" s="4"/>
      <c r="R42" s="4"/>
      <c r="S42" s="4"/>
      <c r="T42" s="4"/>
      <c r="U42" s="4"/>
      <c r="V42" s="4"/>
      <c r="W42" s="4"/>
    </row>
    <row r="43" spans="2:23" x14ac:dyDescent="0.3">
      <c r="B43" s="252">
        <f t="shared" si="0"/>
        <v>25</v>
      </c>
      <c r="C43" s="257"/>
      <c r="D43" s="259"/>
      <c r="E43" s="253"/>
      <c r="F43" s="58"/>
      <c r="G43" s="28"/>
      <c r="H43" s="4"/>
      <c r="I43" s="4"/>
      <c r="J43" s="4"/>
      <c r="K43" s="35"/>
      <c r="L43" s="36"/>
      <c r="M43" s="30"/>
      <c r="N43" s="4"/>
      <c r="O43" s="4"/>
      <c r="P43" s="4"/>
      <c r="Q43" s="4"/>
      <c r="R43" s="4"/>
      <c r="S43" s="4"/>
      <c r="T43" s="4"/>
      <c r="U43" s="4"/>
      <c r="V43" s="4"/>
      <c r="W43" s="4"/>
    </row>
    <row r="44" spans="2:23" x14ac:dyDescent="0.3">
      <c r="B44" s="252">
        <f t="shared" si="0"/>
        <v>26</v>
      </c>
      <c r="C44" s="257"/>
      <c r="D44" s="259"/>
      <c r="E44" s="253"/>
      <c r="F44" s="58"/>
      <c r="G44" s="28"/>
      <c r="H44" s="4"/>
      <c r="I44" s="4"/>
      <c r="J44" s="4"/>
      <c r="K44" s="114"/>
      <c r="L44" s="36"/>
      <c r="M44" s="30"/>
      <c r="N44" s="4"/>
      <c r="O44" s="4"/>
      <c r="P44" s="4"/>
      <c r="Q44" s="4"/>
      <c r="R44" s="4"/>
      <c r="S44" s="4"/>
      <c r="T44" s="4"/>
      <c r="U44" s="4"/>
      <c r="V44" s="4"/>
      <c r="W44" s="4"/>
    </row>
    <row r="45" spans="2:23" x14ac:dyDescent="0.3">
      <c r="B45" s="252">
        <f t="shared" si="0"/>
        <v>27</v>
      </c>
      <c r="C45" s="257"/>
      <c r="D45" s="259"/>
      <c r="E45" s="253"/>
      <c r="F45" s="58"/>
      <c r="G45" s="28"/>
      <c r="H45" s="4"/>
      <c r="I45" s="4"/>
      <c r="J45" s="4"/>
      <c r="K45" s="114"/>
      <c r="L45" s="36"/>
      <c r="M45" s="30"/>
      <c r="N45" s="4"/>
      <c r="O45" s="4"/>
      <c r="P45" s="4"/>
      <c r="Q45" s="4"/>
      <c r="R45" s="4"/>
      <c r="S45" s="4"/>
      <c r="T45" s="4"/>
      <c r="U45" s="4"/>
      <c r="V45" s="4"/>
      <c r="W45" s="4"/>
    </row>
    <row r="46" spans="2:23" x14ac:dyDescent="0.3">
      <c r="B46" s="252">
        <f t="shared" si="0"/>
        <v>28</v>
      </c>
      <c r="C46" s="257"/>
      <c r="D46" s="259"/>
      <c r="E46" s="253"/>
      <c r="F46" s="58"/>
      <c r="G46" s="28"/>
      <c r="H46" s="4"/>
      <c r="I46" s="4"/>
      <c r="J46" s="4"/>
      <c r="K46" s="114"/>
      <c r="L46" s="36"/>
      <c r="M46" s="30"/>
      <c r="N46" s="4"/>
      <c r="O46" s="4"/>
      <c r="P46" s="4"/>
      <c r="Q46" s="4"/>
      <c r="R46" s="4"/>
      <c r="S46" s="4"/>
      <c r="T46" s="4"/>
      <c r="U46" s="4"/>
      <c r="V46" s="4"/>
      <c r="W46" s="4"/>
    </row>
    <row r="47" spans="2:23" x14ac:dyDescent="0.3">
      <c r="B47" s="252">
        <f t="shared" si="0"/>
        <v>29</v>
      </c>
      <c r="C47" s="257"/>
      <c r="D47" s="259"/>
      <c r="E47" s="253"/>
      <c r="F47" s="58"/>
      <c r="G47" s="28"/>
      <c r="H47" s="4"/>
      <c r="I47" s="4"/>
      <c r="J47" s="4"/>
      <c r="K47" s="29"/>
      <c r="L47" s="216" t="s">
        <v>74</v>
      </c>
      <c r="M47" s="218">
        <f>+M46+M45+M44+M43+M42+M41+M40+M39+M38+M37+M36+M35+M34+M33+M32+M31+M30</f>
        <v>0</v>
      </c>
      <c r="N47" s="4"/>
      <c r="O47" s="4"/>
      <c r="P47" s="4"/>
      <c r="Q47" s="4"/>
      <c r="R47" s="4"/>
      <c r="S47" s="4"/>
      <c r="T47" s="4"/>
      <c r="U47" s="4"/>
      <c r="V47" s="4"/>
      <c r="W47" s="4"/>
    </row>
    <row r="48" spans="2:23" x14ac:dyDescent="0.3">
      <c r="B48" s="252">
        <f t="shared" si="0"/>
        <v>30</v>
      </c>
      <c r="C48" s="257"/>
      <c r="D48" s="259"/>
      <c r="E48" s="253"/>
      <c r="F48" s="58"/>
      <c r="G48" s="28"/>
      <c r="H48" s="4"/>
      <c r="I48" s="4"/>
      <c r="J48" s="4"/>
      <c r="K48" s="29"/>
      <c r="L48" s="191"/>
      <c r="M48" s="30"/>
      <c r="N48" s="4"/>
      <c r="O48" s="4"/>
      <c r="P48" s="4"/>
      <c r="Q48" s="4"/>
      <c r="R48" s="4"/>
      <c r="S48" s="4"/>
      <c r="T48" s="4"/>
      <c r="U48" s="4"/>
      <c r="V48" s="4"/>
      <c r="W48" s="4"/>
    </row>
    <row r="49" spans="2:23" x14ac:dyDescent="0.3">
      <c r="B49" s="252">
        <f t="shared" si="0"/>
        <v>31</v>
      </c>
      <c r="C49" s="261"/>
      <c r="D49" s="262"/>
      <c r="E49" s="253"/>
      <c r="F49" s="58"/>
      <c r="G49" s="28"/>
      <c r="H49" s="4"/>
      <c r="I49" s="4"/>
      <c r="J49" s="4"/>
      <c r="K49" s="29"/>
      <c r="L49" s="216" t="s">
        <v>75</v>
      </c>
      <c r="M49" s="30"/>
      <c r="N49" s="4"/>
      <c r="O49" s="4"/>
      <c r="P49" s="4"/>
      <c r="Q49" s="4"/>
      <c r="R49" s="4"/>
      <c r="S49" s="4"/>
      <c r="T49" s="4"/>
      <c r="U49" s="4"/>
      <c r="V49" s="4"/>
      <c r="W49" s="4"/>
    </row>
    <row r="50" spans="2:23" x14ac:dyDescent="0.3">
      <c r="B50" s="252">
        <f t="shared" si="0"/>
        <v>32</v>
      </c>
      <c r="C50" s="257"/>
      <c r="D50" s="259"/>
      <c r="E50" s="253"/>
      <c r="F50" s="58"/>
      <c r="G50" s="28"/>
      <c r="H50" s="4"/>
      <c r="I50" s="4"/>
      <c r="J50" s="4"/>
      <c r="K50" s="29"/>
      <c r="L50" s="191"/>
      <c r="M50" s="30"/>
      <c r="N50" s="4"/>
      <c r="O50" s="4"/>
      <c r="P50" s="4"/>
      <c r="Q50" s="4"/>
      <c r="R50" s="4"/>
      <c r="S50" s="4"/>
      <c r="T50" s="4"/>
      <c r="U50" s="4"/>
      <c r="V50" s="4"/>
      <c r="W50" s="4"/>
    </row>
    <row r="51" spans="2:23" x14ac:dyDescent="0.3">
      <c r="B51" s="252">
        <f t="shared" si="0"/>
        <v>33</v>
      </c>
      <c r="C51" s="261"/>
      <c r="D51" s="262"/>
      <c r="E51" s="253"/>
      <c r="F51" s="58"/>
      <c r="G51" s="28"/>
      <c r="H51" s="4"/>
      <c r="I51" s="4"/>
      <c r="J51" s="4"/>
      <c r="K51" s="35"/>
      <c r="L51" s="36" t="s">
        <v>200</v>
      </c>
      <c r="M51" s="31"/>
      <c r="N51" s="4"/>
      <c r="O51" s="4"/>
      <c r="P51" s="4"/>
      <c r="Q51" s="4"/>
      <c r="R51" s="4"/>
      <c r="S51" s="4"/>
      <c r="T51" s="4"/>
      <c r="U51" s="4"/>
      <c r="V51" s="4"/>
      <c r="W51" s="4"/>
    </row>
    <row r="52" spans="2:23" x14ac:dyDescent="0.3">
      <c r="B52" s="252">
        <f t="shared" si="0"/>
        <v>34</v>
      </c>
      <c r="C52" s="257"/>
      <c r="D52" s="259"/>
      <c r="E52" s="253"/>
      <c r="F52" s="58"/>
      <c r="G52" s="28"/>
      <c r="H52" s="4"/>
      <c r="I52" s="4"/>
      <c r="J52" s="4"/>
      <c r="K52" s="35"/>
      <c r="L52" s="36" t="s">
        <v>201</v>
      </c>
      <c r="M52" s="31"/>
      <c r="N52" s="4"/>
      <c r="O52" s="4"/>
      <c r="P52" s="4"/>
      <c r="Q52" s="4"/>
      <c r="R52" s="4"/>
      <c r="S52" s="4"/>
      <c r="T52" s="4"/>
      <c r="U52" s="4"/>
      <c r="V52" s="4"/>
      <c r="W52" s="4"/>
    </row>
    <row r="53" spans="2:23" x14ac:dyDescent="0.3">
      <c r="B53" s="252">
        <f t="shared" si="0"/>
        <v>35</v>
      </c>
      <c r="C53" s="257"/>
      <c r="D53" s="259"/>
      <c r="E53" s="253"/>
      <c r="F53" s="58"/>
      <c r="G53" s="28"/>
      <c r="H53" s="4"/>
      <c r="I53" s="4"/>
      <c r="J53" s="4"/>
      <c r="K53" s="35"/>
      <c r="L53" s="36" t="s">
        <v>202</v>
      </c>
      <c r="M53" s="31"/>
      <c r="N53" s="4"/>
      <c r="O53" s="4"/>
      <c r="P53" s="4"/>
      <c r="Q53" s="4"/>
      <c r="R53" s="4"/>
      <c r="S53" s="4"/>
      <c r="T53" s="4"/>
      <c r="U53" s="4"/>
      <c r="V53" s="4"/>
      <c r="W53" s="4"/>
    </row>
    <row r="54" spans="2:23" x14ac:dyDescent="0.3">
      <c r="B54" s="252">
        <f t="shared" si="0"/>
        <v>36</v>
      </c>
      <c r="C54" s="257"/>
      <c r="D54" s="259"/>
      <c r="E54" s="253"/>
      <c r="F54" s="58"/>
      <c r="G54" s="28"/>
      <c r="H54" s="4"/>
      <c r="I54" s="4"/>
      <c r="J54" s="4"/>
      <c r="K54" s="35"/>
      <c r="L54" s="36" t="s">
        <v>203</v>
      </c>
      <c r="M54" s="31"/>
      <c r="N54" s="4"/>
      <c r="O54" s="4"/>
      <c r="P54" s="4"/>
      <c r="Q54" s="4"/>
      <c r="R54" s="4"/>
      <c r="S54" s="4"/>
      <c r="T54" s="4"/>
      <c r="U54" s="4"/>
      <c r="V54" s="4"/>
      <c r="W54" s="4"/>
    </row>
    <row r="55" spans="2:23" x14ac:dyDescent="0.3">
      <c r="B55" s="252">
        <f t="shared" si="0"/>
        <v>37</v>
      </c>
      <c r="C55" s="257"/>
      <c r="D55" s="259"/>
      <c r="E55" s="253"/>
      <c r="F55" s="58"/>
      <c r="G55" s="28"/>
      <c r="H55" s="4"/>
      <c r="I55" s="4"/>
      <c r="J55" s="4"/>
      <c r="K55" s="35"/>
      <c r="L55" s="36" t="s">
        <v>204</v>
      </c>
      <c r="M55" s="30"/>
      <c r="N55" s="4"/>
      <c r="O55" s="4"/>
      <c r="P55" s="4"/>
      <c r="Q55" s="4"/>
      <c r="R55" s="4"/>
      <c r="S55" s="4"/>
      <c r="T55" s="4"/>
      <c r="U55" s="4"/>
      <c r="V55" s="4"/>
      <c r="W55" s="4"/>
    </row>
    <row r="56" spans="2:23" x14ac:dyDescent="0.3">
      <c r="B56" s="252">
        <f t="shared" si="0"/>
        <v>38</v>
      </c>
      <c r="C56" s="257"/>
      <c r="D56" s="259"/>
      <c r="E56" s="253"/>
      <c r="F56" s="58"/>
      <c r="G56" s="28"/>
      <c r="H56" s="4"/>
      <c r="I56" s="4"/>
      <c r="J56" s="4"/>
      <c r="K56" s="35"/>
      <c r="L56" s="36" t="s">
        <v>205</v>
      </c>
      <c r="M56" s="30"/>
      <c r="N56" s="4"/>
      <c r="O56" s="4"/>
      <c r="P56" s="4"/>
      <c r="Q56" s="4"/>
      <c r="R56" s="4"/>
      <c r="S56" s="4"/>
      <c r="T56" s="4"/>
      <c r="U56" s="4"/>
      <c r="V56" s="4"/>
      <c r="W56" s="4"/>
    </row>
    <row r="57" spans="2:23" x14ac:dyDescent="0.3">
      <c r="B57" s="252">
        <f t="shared" si="0"/>
        <v>39</v>
      </c>
      <c r="C57" s="261"/>
      <c r="D57" s="262"/>
      <c r="E57" s="253"/>
      <c r="F57" s="58"/>
      <c r="G57" s="28"/>
      <c r="H57" s="4"/>
      <c r="I57" s="4"/>
      <c r="J57" s="4"/>
      <c r="K57" s="35"/>
      <c r="L57" s="36" t="s">
        <v>206</v>
      </c>
      <c r="M57" s="30"/>
      <c r="N57" s="4"/>
      <c r="O57" s="4"/>
      <c r="P57" s="4"/>
      <c r="Q57" s="4"/>
      <c r="R57" s="4"/>
      <c r="S57" s="4"/>
      <c r="T57" s="4"/>
      <c r="U57" s="4"/>
      <c r="V57" s="4"/>
      <c r="W57" s="4"/>
    </row>
    <row r="58" spans="2:23" x14ac:dyDescent="0.3">
      <c r="B58" s="252">
        <f t="shared" si="0"/>
        <v>40</v>
      </c>
      <c r="C58" s="261"/>
      <c r="D58" s="262"/>
      <c r="E58" s="253"/>
      <c r="F58" s="58"/>
      <c r="G58" s="28"/>
      <c r="H58" s="4"/>
      <c r="I58" s="4"/>
      <c r="J58" s="4"/>
      <c r="K58" s="35"/>
      <c r="L58" s="36" t="s">
        <v>207</v>
      </c>
      <c r="M58" s="31"/>
      <c r="N58" s="4"/>
      <c r="O58" s="4"/>
      <c r="P58" s="4"/>
      <c r="Q58" s="4"/>
      <c r="R58" s="4"/>
      <c r="S58" s="4"/>
      <c r="T58" s="4"/>
      <c r="U58" s="4"/>
      <c r="V58" s="4"/>
      <c r="W58" s="4"/>
    </row>
    <row r="59" spans="2:23" x14ac:dyDescent="0.3">
      <c r="B59" s="252">
        <f t="shared" si="0"/>
        <v>41</v>
      </c>
      <c r="C59" s="261"/>
      <c r="D59" s="262"/>
      <c r="E59" s="253"/>
      <c r="F59" s="58"/>
      <c r="G59" s="28"/>
      <c r="H59" s="4"/>
      <c r="I59" s="4"/>
      <c r="J59" s="4"/>
      <c r="K59" s="35"/>
      <c r="L59" s="36"/>
      <c r="M59" s="31"/>
      <c r="N59" s="4"/>
      <c r="O59" s="4"/>
      <c r="P59" s="4"/>
      <c r="Q59" s="4"/>
      <c r="R59" s="4"/>
      <c r="S59" s="4"/>
      <c r="T59" s="4"/>
      <c r="U59" s="4"/>
      <c r="V59" s="4"/>
      <c r="W59" s="4"/>
    </row>
    <row r="60" spans="2:23" x14ac:dyDescent="0.3">
      <c r="B60" s="252">
        <f t="shared" si="0"/>
        <v>42</v>
      </c>
      <c r="C60" s="261"/>
      <c r="D60" s="262"/>
      <c r="E60" s="253"/>
      <c r="F60" s="58"/>
      <c r="G60" s="28"/>
      <c r="H60" s="4"/>
      <c r="I60" s="4"/>
      <c r="J60" s="4"/>
      <c r="K60" s="35"/>
      <c r="L60" s="36"/>
      <c r="M60" s="31"/>
      <c r="N60" s="4"/>
      <c r="O60" s="4"/>
      <c r="P60" s="4"/>
      <c r="Q60" s="4"/>
      <c r="R60" s="4"/>
      <c r="S60" s="4"/>
      <c r="T60" s="4"/>
      <c r="U60" s="4"/>
      <c r="V60" s="4"/>
      <c r="W60" s="4"/>
    </row>
    <row r="61" spans="2:23" x14ac:dyDescent="0.3">
      <c r="B61" s="252">
        <f t="shared" si="0"/>
        <v>43</v>
      </c>
      <c r="C61" s="261"/>
      <c r="D61" s="262"/>
      <c r="E61" s="253"/>
      <c r="F61" s="58"/>
      <c r="G61" s="28"/>
      <c r="H61" s="4"/>
      <c r="I61" s="4"/>
      <c r="J61" s="4"/>
      <c r="K61" s="35"/>
      <c r="L61" s="36"/>
      <c r="M61" s="31"/>
      <c r="N61" s="4"/>
      <c r="O61" s="4"/>
      <c r="P61" s="4"/>
      <c r="Q61" s="4"/>
      <c r="R61" s="4"/>
      <c r="S61" s="4"/>
      <c r="T61" s="4"/>
      <c r="U61" s="4"/>
      <c r="V61" s="4"/>
      <c r="W61" s="4"/>
    </row>
    <row r="62" spans="2:23" x14ac:dyDescent="0.3">
      <c r="B62" s="252">
        <f t="shared" si="0"/>
        <v>44</v>
      </c>
      <c r="C62" s="261"/>
      <c r="D62" s="262"/>
      <c r="E62" s="253"/>
      <c r="F62" s="58"/>
      <c r="G62" s="28"/>
      <c r="H62" s="4"/>
      <c r="I62" s="4"/>
      <c r="J62" s="4"/>
      <c r="K62" s="35"/>
      <c r="L62" s="36"/>
      <c r="M62" s="31"/>
      <c r="N62" s="4"/>
      <c r="O62" s="4"/>
      <c r="P62" s="4"/>
      <c r="Q62" s="4"/>
      <c r="R62" s="4"/>
      <c r="S62" s="4"/>
      <c r="T62" s="4"/>
      <c r="U62" s="4"/>
      <c r="V62" s="4"/>
      <c r="W62" s="4"/>
    </row>
    <row r="63" spans="2:23" x14ac:dyDescent="0.3">
      <c r="B63" s="252">
        <f t="shared" si="0"/>
        <v>45</v>
      </c>
      <c r="C63" s="261"/>
      <c r="D63" s="262"/>
      <c r="E63" s="253"/>
      <c r="F63" s="58"/>
      <c r="G63" s="28"/>
      <c r="H63" s="4"/>
      <c r="I63" s="4"/>
      <c r="J63" s="4"/>
      <c r="K63" s="35"/>
      <c r="L63" s="36"/>
      <c r="M63" s="31"/>
      <c r="N63" s="4"/>
      <c r="O63" s="4"/>
      <c r="P63" s="4"/>
      <c r="Q63" s="4"/>
      <c r="R63" s="4"/>
      <c r="S63" s="4"/>
      <c r="T63" s="4"/>
      <c r="U63" s="4"/>
      <c r="V63" s="4"/>
      <c r="W63" s="4"/>
    </row>
    <row r="64" spans="2:23" x14ac:dyDescent="0.3">
      <c r="B64" s="252">
        <f t="shared" si="0"/>
        <v>46</v>
      </c>
      <c r="C64" s="261"/>
      <c r="D64" s="262"/>
      <c r="E64" s="253"/>
      <c r="F64" s="58"/>
      <c r="G64" s="28"/>
      <c r="H64" s="4"/>
      <c r="I64" s="4"/>
      <c r="J64" s="4"/>
      <c r="K64" s="35"/>
      <c r="L64" s="36"/>
      <c r="M64" s="31"/>
      <c r="N64" s="4"/>
      <c r="O64" s="4"/>
      <c r="P64" s="4"/>
      <c r="Q64" s="4"/>
      <c r="R64" s="4"/>
      <c r="S64" s="4"/>
      <c r="T64" s="4"/>
      <c r="U64" s="4"/>
      <c r="V64" s="4"/>
      <c r="W64" s="4"/>
    </row>
    <row r="65" spans="2:23" x14ac:dyDescent="0.3">
      <c r="B65" s="252">
        <f t="shared" si="0"/>
        <v>47</v>
      </c>
      <c r="C65" s="261"/>
      <c r="D65" s="262"/>
      <c r="E65" s="253"/>
      <c r="F65" s="58"/>
      <c r="G65" s="28"/>
      <c r="H65" s="4"/>
      <c r="I65" s="4"/>
      <c r="J65" s="4"/>
      <c r="K65" s="35"/>
      <c r="L65" s="36"/>
      <c r="M65" s="31"/>
      <c r="N65" s="4"/>
      <c r="O65" s="4"/>
      <c r="P65" s="4"/>
      <c r="Q65" s="4"/>
      <c r="R65" s="4"/>
      <c r="S65" s="4"/>
      <c r="T65" s="4"/>
      <c r="U65" s="4"/>
      <c r="V65" s="4"/>
      <c r="W65" s="4"/>
    </row>
    <row r="66" spans="2:23" x14ac:dyDescent="0.3">
      <c r="B66" s="252">
        <f t="shared" si="0"/>
        <v>48</v>
      </c>
      <c r="C66" s="261"/>
      <c r="D66" s="262"/>
      <c r="E66" s="253"/>
      <c r="F66" s="58"/>
      <c r="G66" s="28"/>
      <c r="H66" s="4"/>
      <c r="I66" s="4"/>
      <c r="J66" s="4"/>
      <c r="K66" s="35"/>
      <c r="L66" s="36"/>
      <c r="M66" s="31"/>
      <c r="N66" s="4"/>
      <c r="O66" s="4"/>
      <c r="P66" s="4"/>
      <c r="Q66" s="4"/>
      <c r="R66" s="4"/>
      <c r="S66" s="4"/>
      <c r="T66" s="4"/>
      <c r="U66" s="4"/>
      <c r="V66" s="4"/>
      <c r="W66" s="4"/>
    </row>
    <row r="67" spans="2:23" x14ac:dyDescent="0.3">
      <c r="B67" s="252">
        <f t="shared" si="0"/>
        <v>49</v>
      </c>
      <c r="C67" s="261"/>
      <c r="D67" s="262"/>
      <c r="E67" s="253"/>
      <c r="F67" s="58"/>
      <c r="G67" s="28"/>
      <c r="H67" s="4"/>
      <c r="I67" s="4"/>
      <c r="J67" s="4"/>
      <c r="K67" s="35"/>
      <c r="L67" s="36"/>
      <c r="M67" s="31"/>
      <c r="N67" s="4"/>
      <c r="O67" s="4"/>
      <c r="P67" s="4"/>
      <c r="Q67" s="4"/>
      <c r="R67" s="4"/>
      <c r="S67" s="4"/>
      <c r="T67" s="4"/>
      <c r="U67" s="4"/>
      <c r="V67" s="4"/>
      <c r="W67" s="4"/>
    </row>
    <row r="68" spans="2:23" x14ac:dyDescent="0.3">
      <c r="B68" s="252">
        <f t="shared" si="0"/>
        <v>50</v>
      </c>
      <c r="C68" s="261"/>
      <c r="D68" s="262"/>
      <c r="E68" s="253"/>
      <c r="F68" s="58"/>
      <c r="G68" s="28"/>
      <c r="H68" s="4"/>
      <c r="I68" s="4"/>
      <c r="J68" s="4"/>
      <c r="K68" s="35"/>
      <c r="L68" s="36"/>
      <c r="M68" s="31"/>
      <c r="N68" s="4"/>
      <c r="O68" s="4"/>
      <c r="P68" s="4"/>
      <c r="Q68" s="4"/>
      <c r="R68" s="4"/>
      <c r="S68" s="4"/>
      <c r="T68" s="4"/>
      <c r="U68" s="4"/>
      <c r="V68" s="4"/>
      <c r="W68" s="4"/>
    </row>
    <row r="69" spans="2:23" x14ac:dyDescent="0.3">
      <c r="B69" s="252">
        <f t="shared" si="0"/>
        <v>51</v>
      </c>
      <c r="C69" s="261"/>
      <c r="D69" s="262"/>
      <c r="E69" s="253"/>
      <c r="F69" s="58"/>
      <c r="G69" s="28"/>
      <c r="H69" s="4"/>
      <c r="I69" s="4"/>
      <c r="J69" s="4"/>
      <c r="K69" s="35"/>
      <c r="L69" s="36"/>
      <c r="M69" s="31"/>
      <c r="N69" s="4"/>
      <c r="O69" s="4"/>
      <c r="P69" s="4"/>
      <c r="Q69" s="4"/>
      <c r="R69" s="4"/>
      <c r="S69" s="4"/>
      <c r="T69" s="4"/>
      <c r="U69" s="4"/>
      <c r="V69" s="4"/>
      <c r="W69" s="4"/>
    </row>
    <row r="70" spans="2:23" x14ac:dyDescent="0.3">
      <c r="B70" s="252">
        <f t="shared" si="0"/>
        <v>52</v>
      </c>
      <c r="C70" s="261"/>
      <c r="D70" s="262"/>
      <c r="E70" s="253"/>
      <c r="F70" s="58"/>
      <c r="G70" s="28"/>
      <c r="H70" s="4"/>
      <c r="I70" s="4"/>
      <c r="J70" s="4"/>
      <c r="K70" s="35"/>
      <c r="L70" s="36"/>
      <c r="M70" s="31"/>
      <c r="N70" s="4"/>
      <c r="O70" s="4"/>
      <c r="P70" s="4"/>
      <c r="Q70" s="4"/>
      <c r="R70" s="4"/>
      <c r="S70" s="4"/>
      <c r="T70" s="4"/>
      <c r="U70" s="4"/>
      <c r="V70" s="4"/>
      <c r="W70" s="4"/>
    </row>
    <row r="71" spans="2:23" x14ac:dyDescent="0.3">
      <c r="B71" s="252">
        <f t="shared" si="0"/>
        <v>53</v>
      </c>
      <c r="C71" s="261"/>
      <c r="D71" s="262"/>
      <c r="E71" s="253"/>
      <c r="F71" s="58"/>
      <c r="G71" s="28"/>
      <c r="H71" s="4"/>
      <c r="I71" s="4"/>
      <c r="J71" s="4"/>
      <c r="K71" s="35"/>
      <c r="L71" s="36"/>
      <c r="M71" s="31"/>
      <c r="N71" s="4"/>
      <c r="O71" s="4"/>
      <c r="P71" s="4"/>
      <c r="Q71" s="4"/>
      <c r="R71" s="4"/>
      <c r="S71" s="4"/>
      <c r="T71" s="4"/>
      <c r="U71" s="4"/>
      <c r="V71" s="4"/>
      <c r="W71" s="4"/>
    </row>
    <row r="72" spans="2:23" x14ac:dyDescent="0.3">
      <c r="B72" s="252">
        <f t="shared" si="0"/>
        <v>54</v>
      </c>
      <c r="C72" s="261"/>
      <c r="D72" s="262"/>
      <c r="E72" s="253"/>
      <c r="F72" s="58"/>
      <c r="G72" s="28"/>
      <c r="H72" s="4"/>
      <c r="I72" s="4"/>
      <c r="J72" s="4"/>
      <c r="K72" s="35"/>
      <c r="L72" s="36"/>
      <c r="M72" s="31"/>
      <c r="N72" s="4"/>
      <c r="O72" s="4"/>
      <c r="P72" s="4"/>
      <c r="Q72" s="4"/>
      <c r="R72" s="4"/>
      <c r="S72" s="4"/>
      <c r="T72" s="4"/>
      <c r="U72" s="4"/>
      <c r="V72" s="4"/>
      <c r="W72" s="4"/>
    </row>
    <row r="73" spans="2:23" x14ac:dyDescent="0.3">
      <c r="B73" s="252">
        <f t="shared" si="0"/>
        <v>55</v>
      </c>
      <c r="C73" s="261"/>
      <c r="D73" s="262"/>
      <c r="E73" s="253"/>
      <c r="F73" s="58"/>
      <c r="G73" s="28"/>
      <c r="H73" s="4"/>
      <c r="I73" s="4"/>
      <c r="J73" s="4"/>
      <c r="K73" s="35"/>
      <c r="L73" s="36"/>
      <c r="M73" s="31"/>
      <c r="N73" s="4"/>
      <c r="O73" s="4"/>
      <c r="P73" s="4"/>
      <c r="Q73" s="4"/>
      <c r="R73" s="4"/>
      <c r="S73" s="4"/>
      <c r="T73" s="4"/>
      <c r="U73" s="4"/>
      <c r="V73" s="4"/>
      <c r="W73" s="4"/>
    </row>
    <row r="74" spans="2:23" x14ac:dyDescent="0.3">
      <c r="B74" s="252">
        <f t="shared" si="0"/>
        <v>56</v>
      </c>
      <c r="C74" s="261"/>
      <c r="D74" s="262"/>
      <c r="E74" s="253"/>
      <c r="F74" s="58"/>
      <c r="G74" s="28"/>
      <c r="H74" s="4"/>
      <c r="I74" s="4"/>
      <c r="J74" s="4"/>
      <c r="K74" s="35"/>
      <c r="L74" s="36"/>
      <c r="M74" s="31"/>
      <c r="N74" s="4"/>
      <c r="O74" s="4"/>
      <c r="P74" s="4"/>
      <c r="Q74" s="4"/>
      <c r="R74" s="4"/>
      <c r="S74" s="4"/>
      <c r="T74" s="4"/>
      <c r="U74" s="4"/>
      <c r="V74" s="4"/>
      <c r="W74" s="4"/>
    </row>
    <row r="75" spans="2:23" x14ac:dyDescent="0.3">
      <c r="B75" s="252">
        <f t="shared" si="0"/>
        <v>57</v>
      </c>
      <c r="C75" s="261"/>
      <c r="D75" s="262"/>
      <c r="E75" s="253"/>
      <c r="F75" s="58"/>
      <c r="G75" s="28"/>
      <c r="H75" s="4"/>
      <c r="I75" s="4"/>
      <c r="J75" s="4"/>
      <c r="K75" s="35"/>
      <c r="L75" s="36"/>
      <c r="M75" s="31"/>
      <c r="N75" s="4"/>
      <c r="O75" s="4"/>
      <c r="P75" s="4"/>
      <c r="Q75" s="4"/>
      <c r="R75" s="4"/>
      <c r="S75" s="4"/>
      <c r="T75" s="4"/>
      <c r="U75" s="4"/>
      <c r="V75" s="4"/>
      <c r="W75" s="4"/>
    </row>
    <row r="76" spans="2:23" x14ac:dyDescent="0.3">
      <c r="B76" s="252">
        <f t="shared" si="0"/>
        <v>58</v>
      </c>
      <c r="C76" s="261"/>
      <c r="D76" s="262"/>
      <c r="E76" s="253"/>
      <c r="F76" s="58"/>
      <c r="G76" s="28"/>
      <c r="H76" s="4"/>
      <c r="I76" s="4"/>
      <c r="J76" s="4"/>
      <c r="K76" s="115"/>
      <c r="L76" s="219" t="s">
        <v>76</v>
      </c>
      <c r="M76" s="220">
        <f>SUM(M51:M75)</f>
        <v>0</v>
      </c>
      <c r="N76" s="4"/>
      <c r="O76" s="4"/>
      <c r="P76" s="4"/>
      <c r="Q76" s="4"/>
      <c r="R76" s="4"/>
      <c r="S76" s="4"/>
      <c r="T76" s="4"/>
      <c r="U76" s="4"/>
      <c r="V76" s="4"/>
      <c r="W76" s="4"/>
    </row>
    <row r="77" spans="2:23" x14ac:dyDescent="0.3">
      <c r="B77" s="252">
        <f t="shared" si="0"/>
        <v>59</v>
      </c>
      <c r="C77" s="261"/>
      <c r="D77" s="262"/>
      <c r="E77" s="253"/>
      <c r="F77" s="58"/>
      <c r="G77" s="28"/>
      <c r="H77" s="4"/>
      <c r="I77" s="4"/>
      <c r="J77" s="4"/>
      <c r="K77" s="116"/>
      <c r="L77" s="34"/>
      <c r="M77" s="33"/>
      <c r="N77" s="4"/>
      <c r="O77" s="4"/>
      <c r="P77" s="4"/>
      <c r="Q77" s="4"/>
      <c r="R77" s="4"/>
      <c r="S77" s="4"/>
      <c r="T77" s="4"/>
      <c r="U77" s="4"/>
      <c r="V77" s="4"/>
      <c r="W77" s="4"/>
    </row>
    <row r="78" spans="2:23" x14ac:dyDescent="0.3">
      <c r="B78" s="252">
        <f t="shared" si="0"/>
        <v>60</v>
      </c>
      <c r="C78" s="261"/>
      <c r="D78" s="262"/>
      <c r="E78" s="253"/>
      <c r="F78" s="58"/>
      <c r="G78" s="28"/>
      <c r="H78" s="4"/>
      <c r="I78" s="4"/>
      <c r="J78" s="4"/>
      <c r="K78" s="116"/>
      <c r="L78" s="34"/>
      <c r="M78" s="33"/>
      <c r="N78" s="4"/>
      <c r="O78" s="4"/>
      <c r="P78" s="4"/>
      <c r="Q78" s="4"/>
      <c r="R78" s="4"/>
      <c r="S78" s="4"/>
      <c r="T78" s="4"/>
      <c r="U78" s="4"/>
      <c r="V78" s="4"/>
      <c r="W78" s="4"/>
    </row>
    <row r="79" spans="2:23" x14ac:dyDescent="0.3">
      <c r="B79" s="252">
        <f t="shared" si="0"/>
        <v>61</v>
      </c>
      <c r="C79" s="261"/>
      <c r="D79" s="262"/>
      <c r="E79" s="253"/>
      <c r="F79" s="58"/>
      <c r="G79" s="28"/>
      <c r="H79" s="4"/>
      <c r="I79" s="4"/>
      <c r="J79" s="4"/>
      <c r="K79" s="116"/>
      <c r="L79" s="34"/>
      <c r="M79" s="33"/>
      <c r="N79" s="4"/>
      <c r="O79" s="4"/>
      <c r="P79" s="4"/>
      <c r="Q79" s="4"/>
      <c r="R79" s="4"/>
      <c r="S79" s="4"/>
      <c r="T79" s="4"/>
      <c r="U79" s="4"/>
      <c r="V79" s="4"/>
      <c r="W79" s="4"/>
    </row>
    <row r="80" spans="2:23" x14ac:dyDescent="0.3">
      <c r="B80" s="252">
        <f t="shared" si="0"/>
        <v>62</v>
      </c>
      <c r="C80" s="261"/>
      <c r="D80" s="262"/>
      <c r="E80" s="253"/>
      <c r="F80" s="58"/>
      <c r="G80" s="28"/>
      <c r="H80" s="4"/>
      <c r="I80" s="4"/>
      <c r="J80" s="4"/>
      <c r="K80" s="116"/>
      <c r="L80" s="34"/>
      <c r="M80" s="33"/>
      <c r="N80" s="4"/>
      <c r="O80" s="4"/>
      <c r="P80" s="4"/>
      <c r="Q80" s="4"/>
      <c r="R80" s="4"/>
      <c r="S80" s="4"/>
      <c r="T80" s="4"/>
      <c r="U80" s="4"/>
      <c r="V80" s="4"/>
      <c r="W80" s="4"/>
    </row>
    <row r="81" spans="2:23" x14ac:dyDescent="0.3">
      <c r="B81" s="252">
        <f t="shared" si="0"/>
        <v>63</v>
      </c>
      <c r="C81" s="261"/>
      <c r="D81" s="262"/>
      <c r="E81" s="253"/>
      <c r="F81" s="58"/>
      <c r="G81" s="28"/>
      <c r="H81" s="4"/>
      <c r="I81" s="4"/>
      <c r="J81" s="4"/>
      <c r="K81" s="116"/>
      <c r="L81" s="34"/>
      <c r="M81" s="33"/>
      <c r="N81" s="4"/>
      <c r="O81" s="4"/>
      <c r="P81" s="4"/>
      <c r="Q81" s="4"/>
      <c r="R81" s="4"/>
      <c r="S81" s="4"/>
      <c r="T81" s="4"/>
      <c r="U81" s="4"/>
      <c r="V81" s="4"/>
      <c r="W81" s="4"/>
    </row>
    <row r="82" spans="2:23" x14ac:dyDescent="0.3">
      <c r="B82" s="252">
        <f t="shared" si="0"/>
        <v>64</v>
      </c>
      <c r="C82" s="261"/>
      <c r="D82" s="262"/>
      <c r="E82" s="253"/>
      <c r="F82" s="58"/>
      <c r="G82" s="28"/>
      <c r="H82" s="4"/>
      <c r="I82" s="4"/>
      <c r="J82" s="4"/>
      <c r="K82" s="116"/>
      <c r="L82" s="34"/>
      <c r="M82" s="33"/>
      <c r="N82" s="4"/>
      <c r="O82" s="4"/>
      <c r="P82" s="4"/>
      <c r="Q82" s="4"/>
      <c r="R82" s="4"/>
      <c r="S82" s="4"/>
      <c r="T82" s="4"/>
      <c r="U82" s="4"/>
      <c r="V82" s="4"/>
      <c r="W82" s="4"/>
    </row>
    <row r="83" spans="2:23" x14ac:dyDescent="0.3">
      <c r="B83" s="252">
        <f t="shared" si="0"/>
        <v>65</v>
      </c>
      <c r="C83" s="261"/>
      <c r="D83" s="262"/>
      <c r="E83" s="253"/>
      <c r="F83" s="58"/>
      <c r="G83" s="28"/>
      <c r="H83" s="4"/>
      <c r="I83" s="4"/>
      <c r="J83" s="4"/>
      <c r="K83" s="116"/>
      <c r="L83" s="34"/>
      <c r="M83" s="33"/>
      <c r="N83" s="4"/>
      <c r="O83" s="4"/>
      <c r="P83" s="4"/>
      <c r="Q83" s="4"/>
      <c r="R83" s="4"/>
      <c r="S83" s="4"/>
      <c r="T83" s="4"/>
      <c r="U83" s="4"/>
      <c r="V83" s="4"/>
      <c r="W83" s="4"/>
    </row>
    <row r="84" spans="2:23" x14ac:dyDescent="0.3">
      <c r="B84" s="252">
        <f t="shared" si="0"/>
        <v>66</v>
      </c>
      <c r="C84" s="261"/>
      <c r="D84" s="262"/>
      <c r="E84" s="253"/>
      <c r="F84" s="58"/>
      <c r="G84" s="28"/>
      <c r="H84" s="4"/>
      <c r="I84" s="4"/>
      <c r="J84" s="4"/>
      <c r="K84" s="116"/>
      <c r="L84" s="34"/>
      <c r="M84" s="33"/>
      <c r="N84" s="4"/>
      <c r="O84" s="4"/>
      <c r="P84" s="4"/>
      <c r="Q84" s="4"/>
      <c r="R84" s="4"/>
      <c r="S84" s="4"/>
      <c r="T84" s="4"/>
      <c r="U84" s="4"/>
      <c r="V84" s="4"/>
      <c r="W84" s="4"/>
    </row>
    <row r="85" spans="2:23" x14ac:dyDescent="0.3">
      <c r="B85" s="252">
        <f t="shared" ref="B85:B148" si="1">1+B84</f>
        <v>67</v>
      </c>
      <c r="C85" s="261"/>
      <c r="D85" s="262"/>
      <c r="E85" s="253"/>
      <c r="F85" s="58"/>
      <c r="G85" s="28"/>
      <c r="H85" s="4"/>
      <c r="I85" s="4"/>
      <c r="J85" s="4"/>
      <c r="K85" s="116"/>
      <c r="L85" s="34"/>
      <c r="M85" s="33"/>
      <c r="N85" s="4"/>
      <c r="O85" s="4"/>
      <c r="P85" s="4"/>
      <c r="Q85" s="4"/>
      <c r="R85" s="4"/>
      <c r="S85" s="4"/>
      <c r="T85" s="4"/>
      <c r="U85" s="4"/>
      <c r="V85" s="4"/>
      <c r="W85" s="4"/>
    </row>
    <row r="86" spans="2:23" x14ac:dyDescent="0.3">
      <c r="B86" s="252">
        <f t="shared" si="1"/>
        <v>68</v>
      </c>
      <c r="C86" s="261"/>
      <c r="D86" s="262"/>
      <c r="E86" s="253"/>
      <c r="F86" s="58"/>
      <c r="G86" s="28"/>
      <c r="H86" s="4"/>
      <c r="I86" s="4"/>
      <c r="J86" s="4"/>
      <c r="K86" s="116"/>
      <c r="L86" s="34"/>
      <c r="M86" s="33"/>
      <c r="N86" s="4"/>
      <c r="O86" s="4"/>
      <c r="P86" s="4"/>
      <c r="Q86" s="4"/>
      <c r="R86" s="4"/>
      <c r="S86" s="4"/>
      <c r="T86" s="4"/>
      <c r="U86" s="4"/>
      <c r="V86" s="4"/>
      <c r="W86" s="4"/>
    </row>
    <row r="87" spans="2:23" x14ac:dyDescent="0.3">
      <c r="B87" s="252">
        <f t="shared" si="1"/>
        <v>69</v>
      </c>
      <c r="C87" s="261"/>
      <c r="D87" s="262"/>
      <c r="E87" s="253"/>
      <c r="F87" s="58"/>
      <c r="G87" s="28"/>
      <c r="H87" s="4"/>
      <c r="I87" s="4"/>
      <c r="J87" s="4"/>
      <c r="K87" s="116"/>
      <c r="L87" s="34"/>
      <c r="M87" s="33"/>
      <c r="N87" s="4"/>
      <c r="O87" s="4"/>
      <c r="P87" s="4"/>
      <c r="Q87" s="4"/>
      <c r="R87" s="4"/>
      <c r="S87" s="4"/>
      <c r="T87" s="4"/>
      <c r="U87" s="4"/>
      <c r="V87" s="4"/>
      <c r="W87" s="4"/>
    </row>
    <row r="88" spans="2:23" x14ac:dyDescent="0.3">
      <c r="B88" s="252">
        <f t="shared" si="1"/>
        <v>70</v>
      </c>
      <c r="C88" s="261"/>
      <c r="D88" s="262"/>
      <c r="E88" s="253"/>
      <c r="F88" s="58"/>
      <c r="G88" s="28"/>
      <c r="H88" s="4"/>
      <c r="I88" s="4"/>
      <c r="J88" s="4"/>
      <c r="K88" s="4"/>
      <c r="L88" s="4"/>
      <c r="M88" s="4"/>
      <c r="N88" s="4"/>
      <c r="O88" s="4"/>
      <c r="P88" s="4"/>
      <c r="Q88" s="4"/>
      <c r="R88" s="4"/>
      <c r="S88" s="4"/>
      <c r="T88" s="4"/>
      <c r="U88" s="4"/>
      <c r="V88" s="4"/>
      <c r="W88" s="4"/>
    </row>
    <row r="89" spans="2:23" x14ac:dyDescent="0.3">
      <c r="B89" s="252">
        <f t="shared" si="1"/>
        <v>71</v>
      </c>
      <c r="C89" s="261"/>
      <c r="D89" s="262"/>
      <c r="E89" s="253"/>
      <c r="F89" s="58"/>
      <c r="G89" s="28"/>
      <c r="H89" s="4"/>
      <c r="I89" s="4"/>
      <c r="J89" s="4"/>
      <c r="K89" s="4"/>
      <c r="L89" s="4"/>
      <c r="M89" s="4"/>
      <c r="N89" s="4"/>
      <c r="O89" s="4"/>
      <c r="P89" s="4"/>
      <c r="Q89" s="4"/>
      <c r="R89" s="4"/>
      <c r="S89" s="4"/>
      <c r="T89" s="4"/>
      <c r="U89" s="4"/>
      <c r="V89" s="4"/>
      <c r="W89" s="4"/>
    </row>
    <row r="90" spans="2:23" x14ac:dyDescent="0.3">
      <c r="B90" s="252">
        <f t="shared" si="1"/>
        <v>72</v>
      </c>
      <c r="C90" s="261"/>
      <c r="D90" s="262"/>
      <c r="E90" s="253"/>
      <c r="F90" s="58"/>
      <c r="G90" s="28"/>
      <c r="H90" s="4"/>
      <c r="I90" s="4"/>
      <c r="J90" s="4"/>
      <c r="K90" s="4"/>
      <c r="L90" s="4"/>
      <c r="M90" s="4"/>
      <c r="N90" s="4"/>
      <c r="O90" s="4"/>
      <c r="P90" s="4"/>
      <c r="Q90" s="4"/>
      <c r="R90" s="4"/>
      <c r="S90" s="4"/>
      <c r="T90" s="4"/>
      <c r="U90" s="4"/>
      <c r="V90" s="4"/>
      <c r="W90" s="4"/>
    </row>
    <row r="91" spans="2:23" x14ac:dyDescent="0.3">
      <c r="B91" s="252">
        <f t="shared" si="1"/>
        <v>73</v>
      </c>
      <c r="C91" s="261"/>
      <c r="D91" s="262"/>
      <c r="E91" s="253"/>
      <c r="F91" s="58"/>
      <c r="G91" s="28"/>
      <c r="H91" s="4"/>
      <c r="I91" s="4"/>
      <c r="J91" s="4"/>
      <c r="K91" s="4"/>
      <c r="L91" s="4"/>
      <c r="M91" s="4"/>
      <c r="N91" s="4"/>
      <c r="O91" s="4"/>
      <c r="P91" s="4"/>
      <c r="Q91" s="4"/>
      <c r="R91" s="4"/>
      <c r="S91" s="4"/>
      <c r="T91" s="4"/>
      <c r="U91" s="4"/>
      <c r="V91" s="4"/>
      <c r="W91" s="4"/>
    </row>
    <row r="92" spans="2:23" x14ac:dyDescent="0.3">
      <c r="B92" s="252">
        <f t="shared" si="1"/>
        <v>74</v>
      </c>
      <c r="C92" s="261"/>
      <c r="D92" s="262"/>
      <c r="E92" s="253"/>
      <c r="F92" s="58"/>
      <c r="G92" s="27"/>
      <c r="H92" s="4"/>
      <c r="I92" s="4"/>
      <c r="J92" s="4"/>
      <c r="K92" s="4"/>
      <c r="L92" s="4"/>
      <c r="M92" s="4"/>
      <c r="N92" s="4"/>
      <c r="O92" s="4"/>
      <c r="P92" s="4"/>
      <c r="Q92" s="4"/>
      <c r="R92" s="4"/>
      <c r="S92" s="4"/>
      <c r="T92" s="4"/>
      <c r="U92" s="4"/>
      <c r="V92" s="4"/>
      <c r="W92" s="4"/>
    </row>
    <row r="93" spans="2:23" x14ac:dyDescent="0.3">
      <c r="B93" s="252">
        <f t="shared" si="1"/>
        <v>75</v>
      </c>
      <c r="C93" s="263"/>
      <c r="D93" s="264"/>
      <c r="E93" s="254"/>
      <c r="F93" s="158"/>
      <c r="G93" s="27"/>
      <c r="H93" s="4"/>
      <c r="I93" s="4"/>
      <c r="J93" s="4"/>
      <c r="K93" s="4"/>
      <c r="L93" s="4"/>
      <c r="M93" s="4"/>
      <c r="N93" s="4"/>
      <c r="O93" s="4"/>
      <c r="P93" s="4"/>
      <c r="Q93" s="4"/>
      <c r="R93" s="4"/>
      <c r="S93" s="4"/>
      <c r="T93" s="4"/>
      <c r="U93" s="4"/>
      <c r="V93" s="4"/>
      <c r="W93" s="4"/>
    </row>
    <row r="94" spans="2:23" x14ac:dyDescent="0.3">
      <c r="B94" s="252">
        <f t="shared" si="1"/>
        <v>76</v>
      </c>
      <c r="C94" s="263"/>
      <c r="D94" s="264"/>
      <c r="E94" s="254"/>
      <c r="F94" s="158"/>
      <c r="G94" s="4"/>
      <c r="H94" s="4"/>
      <c r="I94" s="4"/>
      <c r="J94" s="4"/>
      <c r="K94" s="4"/>
      <c r="L94" s="4"/>
      <c r="M94" s="4"/>
      <c r="N94" s="4"/>
      <c r="O94" s="4"/>
      <c r="P94" s="4"/>
      <c r="Q94" s="4"/>
      <c r="R94" s="4"/>
      <c r="S94" s="4"/>
      <c r="T94" s="4"/>
      <c r="U94" s="4"/>
      <c r="V94" s="4"/>
      <c r="W94" s="4"/>
    </row>
    <row r="95" spans="2:23" x14ac:dyDescent="0.3">
      <c r="B95" s="252">
        <f t="shared" si="1"/>
        <v>77</v>
      </c>
      <c r="C95" s="263"/>
      <c r="D95" s="265"/>
      <c r="E95" s="254"/>
      <c r="F95" s="158"/>
      <c r="G95" s="4"/>
      <c r="H95" s="4"/>
      <c r="I95" s="4"/>
      <c r="J95" s="4"/>
      <c r="K95" s="4"/>
      <c r="L95" s="4"/>
      <c r="M95" s="4"/>
      <c r="N95" s="4"/>
      <c r="O95" s="4"/>
      <c r="P95" s="4"/>
      <c r="Q95" s="4"/>
      <c r="R95" s="4"/>
      <c r="S95" s="4"/>
      <c r="T95" s="4"/>
      <c r="U95" s="4"/>
      <c r="V95" s="4"/>
      <c r="W95" s="4"/>
    </row>
    <row r="96" spans="2:23" x14ac:dyDescent="0.3">
      <c r="B96" s="252">
        <f t="shared" si="1"/>
        <v>78</v>
      </c>
      <c r="C96" s="263"/>
      <c r="D96" s="265"/>
      <c r="E96" s="254"/>
      <c r="F96" s="158"/>
      <c r="G96" s="4"/>
      <c r="H96" s="4"/>
      <c r="I96" s="4"/>
      <c r="J96" s="4"/>
      <c r="K96" s="4"/>
      <c r="L96" s="4"/>
      <c r="M96" s="4"/>
      <c r="N96" s="4"/>
      <c r="O96" s="4"/>
      <c r="P96" s="4"/>
      <c r="Q96" s="4"/>
      <c r="R96" s="4"/>
      <c r="S96" s="4"/>
      <c r="T96" s="4"/>
      <c r="U96" s="4"/>
      <c r="V96" s="4"/>
      <c r="W96" s="4"/>
    </row>
    <row r="97" spans="2:23" x14ac:dyDescent="0.3">
      <c r="B97" s="252">
        <f t="shared" si="1"/>
        <v>79</v>
      </c>
      <c r="C97" s="263"/>
      <c r="D97" s="265"/>
      <c r="E97" s="254"/>
      <c r="F97" s="158"/>
      <c r="G97" s="27"/>
      <c r="H97" s="4"/>
      <c r="I97" s="4"/>
      <c r="J97" s="4"/>
      <c r="K97" s="4"/>
      <c r="L97" s="4"/>
      <c r="M97" s="4"/>
      <c r="N97" s="4"/>
      <c r="O97" s="4"/>
      <c r="P97" s="4"/>
      <c r="Q97" s="4"/>
      <c r="R97" s="4"/>
      <c r="S97" s="4"/>
      <c r="T97" s="4"/>
      <c r="U97" s="4"/>
      <c r="V97" s="4"/>
      <c r="W97" s="4"/>
    </row>
    <row r="98" spans="2:23" x14ac:dyDescent="0.3">
      <c r="B98" s="252">
        <f t="shared" si="1"/>
        <v>80</v>
      </c>
      <c r="C98" s="263"/>
      <c r="D98" s="265"/>
      <c r="E98" s="254"/>
      <c r="F98" s="158"/>
      <c r="G98" s="27"/>
      <c r="H98" s="4"/>
      <c r="I98" s="4"/>
      <c r="J98" s="4"/>
      <c r="K98" s="4"/>
      <c r="L98" s="4"/>
      <c r="M98" s="4"/>
      <c r="N98" s="4"/>
      <c r="O98" s="4"/>
      <c r="P98" s="4"/>
      <c r="Q98" s="4"/>
      <c r="R98" s="4"/>
      <c r="S98" s="4"/>
      <c r="T98" s="4"/>
      <c r="U98" s="4"/>
      <c r="V98" s="4"/>
      <c r="W98" s="4"/>
    </row>
    <row r="99" spans="2:23" x14ac:dyDescent="0.3">
      <c r="B99" s="252">
        <f t="shared" si="1"/>
        <v>81</v>
      </c>
      <c r="C99" s="263"/>
      <c r="D99" s="265"/>
      <c r="E99" s="254"/>
      <c r="F99" s="158"/>
      <c r="G99" s="27"/>
      <c r="H99" s="4"/>
      <c r="I99" s="4"/>
      <c r="J99" s="4"/>
      <c r="K99" s="4"/>
      <c r="L99" s="4"/>
      <c r="M99" s="4"/>
      <c r="N99" s="4"/>
      <c r="O99" s="4"/>
      <c r="P99" s="4"/>
      <c r="Q99" s="4"/>
      <c r="R99" s="4"/>
      <c r="S99" s="4"/>
      <c r="T99" s="4"/>
      <c r="U99" s="4"/>
      <c r="V99" s="4"/>
      <c r="W99" s="4"/>
    </row>
    <row r="100" spans="2:23" x14ac:dyDescent="0.3">
      <c r="B100" s="252">
        <f t="shared" si="1"/>
        <v>82</v>
      </c>
      <c r="C100" s="263"/>
      <c r="D100" s="265"/>
      <c r="E100" s="254"/>
      <c r="F100" s="158"/>
      <c r="G100" s="27"/>
      <c r="H100" s="4"/>
      <c r="I100" s="4"/>
      <c r="J100" s="4"/>
      <c r="K100" s="4"/>
      <c r="L100" s="4"/>
      <c r="M100" s="4"/>
      <c r="N100" s="4"/>
      <c r="O100" s="4"/>
      <c r="P100" s="4"/>
      <c r="Q100" s="4"/>
      <c r="R100" s="4"/>
      <c r="S100" s="4"/>
      <c r="T100" s="4"/>
      <c r="U100" s="4"/>
      <c r="V100" s="4"/>
      <c r="W100" s="4"/>
    </row>
    <row r="101" spans="2:23" x14ac:dyDescent="0.3">
      <c r="B101" s="252">
        <f t="shared" si="1"/>
        <v>83</v>
      </c>
      <c r="C101" s="263"/>
      <c r="D101" s="265"/>
      <c r="E101" s="254"/>
      <c r="F101" s="158"/>
      <c r="G101" s="27"/>
      <c r="H101" s="4"/>
      <c r="I101" s="4"/>
      <c r="J101" s="4"/>
      <c r="K101" s="4"/>
      <c r="L101" s="4"/>
      <c r="M101" s="4"/>
      <c r="N101" s="4"/>
      <c r="O101" s="4"/>
      <c r="P101" s="4"/>
      <c r="Q101" s="4"/>
      <c r="R101" s="4"/>
      <c r="S101" s="4"/>
      <c r="T101" s="4"/>
      <c r="U101" s="4"/>
      <c r="V101" s="4"/>
      <c r="W101" s="4"/>
    </row>
    <row r="102" spans="2:23" x14ac:dyDescent="0.3">
      <c r="B102" s="252">
        <f t="shared" si="1"/>
        <v>84</v>
      </c>
      <c r="C102" s="263"/>
      <c r="D102" s="265"/>
      <c r="E102" s="254"/>
      <c r="F102" s="158"/>
      <c r="G102" s="27"/>
      <c r="H102" s="4"/>
      <c r="I102" s="4"/>
      <c r="J102" s="4"/>
      <c r="K102" s="4"/>
      <c r="L102" s="4"/>
      <c r="M102" s="4"/>
      <c r="N102" s="4"/>
      <c r="O102" s="4"/>
      <c r="P102" s="4"/>
      <c r="Q102" s="4"/>
      <c r="R102" s="4"/>
      <c r="S102" s="4"/>
      <c r="T102" s="4"/>
      <c r="U102" s="4"/>
      <c r="V102" s="4"/>
      <c r="W102" s="4"/>
    </row>
    <row r="103" spans="2:23" x14ac:dyDescent="0.3">
      <c r="B103" s="252">
        <f t="shared" si="1"/>
        <v>85</v>
      </c>
      <c r="C103" s="263"/>
      <c r="D103" s="265"/>
      <c r="E103" s="254"/>
      <c r="F103" s="158"/>
      <c r="G103" s="27"/>
      <c r="H103" s="4"/>
      <c r="I103" s="4"/>
      <c r="J103" s="4"/>
      <c r="K103" s="4"/>
      <c r="L103" s="4"/>
      <c r="M103" s="4"/>
      <c r="N103" s="4"/>
      <c r="O103" s="4"/>
      <c r="P103" s="4"/>
      <c r="Q103" s="4"/>
      <c r="R103" s="4"/>
      <c r="S103" s="4"/>
      <c r="T103" s="4"/>
      <c r="U103" s="4"/>
      <c r="V103" s="4"/>
      <c r="W103" s="4"/>
    </row>
    <row r="104" spans="2:23" x14ac:dyDescent="0.3">
      <c r="B104" s="252">
        <f t="shared" si="1"/>
        <v>86</v>
      </c>
      <c r="C104" s="263"/>
      <c r="D104" s="265"/>
      <c r="E104" s="254"/>
      <c r="F104" s="158"/>
      <c r="G104" s="27"/>
      <c r="H104" s="4"/>
      <c r="I104" s="4"/>
      <c r="K104" s="4"/>
      <c r="L104" s="4"/>
      <c r="M104" s="4"/>
    </row>
    <row r="105" spans="2:23" x14ac:dyDescent="0.3">
      <c r="B105" s="252">
        <f t="shared" si="1"/>
        <v>87</v>
      </c>
      <c r="C105" s="263"/>
      <c r="D105" s="265"/>
      <c r="E105" s="254"/>
      <c r="F105" s="158"/>
      <c r="G105" s="27"/>
      <c r="H105" s="4"/>
      <c r="I105" s="4"/>
      <c r="K105" s="4"/>
      <c r="L105" s="4"/>
      <c r="M105" s="4"/>
    </row>
    <row r="106" spans="2:23" x14ac:dyDescent="0.3">
      <c r="B106" s="252">
        <f t="shared" si="1"/>
        <v>88</v>
      </c>
      <c r="C106" s="263"/>
      <c r="D106" s="265"/>
      <c r="E106" s="254"/>
      <c r="F106" s="158"/>
      <c r="G106" s="27"/>
      <c r="H106" s="4"/>
      <c r="I106" s="4"/>
      <c r="K106" s="4"/>
      <c r="L106" s="4"/>
      <c r="M106" s="4"/>
    </row>
    <row r="107" spans="2:23" x14ac:dyDescent="0.3">
      <c r="B107" s="252">
        <f t="shared" si="1"/>
        <v>89</v>
      </c>
      <c r="C107" s="263"/>
      <c r="D107" s="265"/>
      <c r="E107" s="254"/>
      <c r="F107" s="158"/>
      <c r="G107" s="27"/>
      <c r="H107" s="4"/>
      <c r="I107" s="4"/>
      <c r="K107" s="4"/>
      <c r="L107" s="4"/>
      <c r="M107" s="4"/>
    </row>
    <row r="108" spans="2:23" x14ac:dyDescent="0.3">
      <c r="B108" s="252">
        <f t="shared" si="1"/>
        <v>90</v>
      </c>
      <c r="C108" s="263"/>
      <c r="D108" s="265"/>
      <c r="E108" s="254"/>
      <c r="F108" s="158"/>
      <c r="G108" s="27"/>
      <c r="H108" s="4"/>
      <c r="I108" s="4"/>
      <c r="K108" s="4"/>
      <c r="L108" s="4"/>
      <c r="M108" s="4"/>
    </row>
    <row r="109" spans="2:23" x14ac:dyDescent="0.3">
      <c r="B109" s="252">
        <f t="shared" si="1"/>
        <v>91</v>
      </c>
      <c r="C109" s="263"/>
      <c r="D109" s="265"/>
      <c r="E109" s="254"/>
      <c r="F109" s="158"/>
      <c r="G109" s="27"/>
      <c r="H109" s="4"/>
      <c r="I109" s="4"/>
      <c r="K109" s="4"/>
      <c r="L109" s="4"/>
      <c r="M109" s="4"/>
    </row>
    <row r="110" spans="2:23" x14ac:dyDescent="0.3">
      <c r="B110" s="252">
        <f t="shared" si="1"/>
        <v>92</v>
      </c>
      <c r="C110" s="263"/>
      <c r="D110" s="265"/>
      <c r="E110" s="254"/>
      <c r="F110" s="158"/>
      <c r="G110" s="27"/>
      <c r="K110" s="4"/>
      <c r="L110" s="4"/>
      <c r="M110" s="4"/>
    </row>
    <row r="111" spans="2:23" x14ac:dyDescent="0.3">
      <c r="B111" s="252">
        <f t="shared" si="1"/>
        <v>93</v>
      </c>
      <c r="C111" s="263"/>
      <c r="D111" s="265"/>
      <c r="E111" s="254"/>
      <c r="F111" s="158"/>
      <c r="G111" s="27"/>
      <c r="K111" s="4"/>
      <c r="L111" s="4"/>
      <c r="M111" s="4"/>
    </row>
    <row r="112" spans="2:23" x14ac:dyDescent="0.3">
      <c r="B112" s="252">
        <f t="shared" si="1"/>
        <v>94</v>
      </c>
      <c r="C112" s="263"/>
      <c r="D112" s="265"/>
      <c r="E112" s="254"/>
      <c r="F112" s="158"/>
      <c r="G112" s="27"/>
      <c r="K112" s="4"/>
      <c r="L112" s="4"/>
      <c r="M112" s="4"/>
    </row>
    <row r="113" spans="2:13" x14ac:dyDescent="0.3">
      <c r="B113" s="252">
        <f t="shared" si="1"/>
        <v>95</v>
      </c>
      <c r="C113" s="263"/>
      <c r="D113" s="265"/>
      <c r="E113" s="254"/>
      <c r="F113" s="158"/>
      <c r="G113" s="27"/>
      <c r="K113" s="4"/>
      <c r="L113" s="4"/>
      <c r="M113" s="4"/>
    </row>
    <row r="114" spans="2:13" x14ac:dyDescent="0.3">
      <c r="B114" s="252">
        <f t="shared" si="1"/>
        <v>96</v>
      </c>
      <c r="C114" s="263"/>
      <c r="D114" s="265"/>
      <c r="E114" s="254"/>
      <c r="F114" s="158"/>
      <c r="G114" s="27"/>
    </row>
    <row r="115" spans="2:13" x14ac:dyDescent="0.3">
      <c r="B115" s="252">
        <f t="shared" si="1"/>
        <v>97</v>
      </c>
      <c r="C115" s="263"/>
      <c r="D115" s="265"/>
      <c r="E115" s="254"/>
      <c r="F115" s="158"/>
      <c r="G115" s="27"/>
    </row>
    <row r="116" spans="2:13" x14ac:dyDescent="0.3">
      <c r="B116" s="252">
        <f t="shared" si="1"/>
        <v>98</v>
      </c>
      <c r="C116" s="263"/>
      <c r="D116" s="265"/>
      <c r="E116" s="254"/>
      <c r="F116" s="158"/>
      <c r="G116" s="27"/>
    </row>
    <row r="117" spans="2:13" x14ac:dyDescent="0.3">
      <c r="B117" s="252">
        <f t="shared" si="1"/>
        <v>99</v>
      </c>
      <c r="C117" s="263"/>
      <c r="D117" s="265"/>
      <c r="E117" s="254"/>
      <c r="F117" s="158"/>
      <c r="G117" s="27"/>
    </row>
    <row r="118" spans="2:13" x14ac:dyDescent="0.3">
      <c r="B118" s="252">
        <f t="shared" si="1"/>
        <v>100</v>
      </c>
      <c r="C118" s="263"/>
      <c r="D118" s="265"/>
      <c r="E118" s="254"/>
      <c r="F118" s="158"/>
      <c r="G118" s="27"/>
    </row>
    <row r="119" spans="2:13" x14ac:dyDescent="0.3">
      <c r="B119" s="252">
        <f t="shared" si="1"/>
        <v>101</v>
      </c>
      <c r="C119" s="263"/>
      <c r="D119" s="265"/>
      <c r="E119" s="254"/>
      <c r="F119" s="158"/>
      <c r="G119" s="27"/>
    </row>
    <row r="120" spans="2:13" x14ac:dyDescent="0.3">
      <c r="B120" s="252">
        <f t="shared" si="1"/>
        <v>102</v>
      </c>
      <c r="C120" s="263"/>
      <c r="D120" s="265"/>
      <c r="E120" s="254"/>
      <c r="F120" s="158"/>
      <c r="G120" s="27"/>
    </row>
    <row r="121" spans="2:13" x14ac:dyDescent="0.3">
      <c r="B121" s="252">
        <f t="shared" si="1"/>
        <v>103</v>
      </c>
      <c r="C121" s="263"/>
      <c r="D121" s="265"/>
      <c r="E121" s="254"/>
      <c r="F121" s="158"/>
      <c r="G121" s="27"/>
    </row>
    <row r="122" spans="2:13" x14ac:dyDescent="0.3">
      <c r="B122" s="252">
        <f t="shared" si="1"/>
        <v>104</v>
      </c>
      <c r="C122" s="263"/>
      <c r="D122" s="265"/>
      <c r="E122" s="254"/>
      <c r="F122" s="158"/>
      <c r="G122" s="27"/>
    </row>
    <row r="123" spans="2:13" x14ac:dyDescent="0.3">
      <c r="B123" s="252">
        <f t="shared" si="1"/>
        <v>105</v>
      </c>
      <c r="C123" s="263"/>
      <c r="D123" s="265"/>
      <c r="E123" s="254"/>
      <c r="F123" s="158"/>
      <c r="G123" s="27"/>
    </row>
    <row r="124" spans="2:13" x14ac:dyDescent="0.3">
      <c r="B124" s="252">
        <f t="shared" si="1"/>
        <v>106</v>
      </c>
      <c r="C124" s="263"/>
      <c r="D124" s="265"/>
      <c r="E124" s="254"/>
      <c r="F124" s="158"/>
      <c r="G124" s="27"/>
    </row>
    <row r="125" spans="2:13" x14ac:dyDescent="0.3">
      <c r="B125" s="252">
        <f t="shared" si="1"/>
        <v>107</v>
      </c>
      <c r="C125" s="263"/>
      <c r="D125" s="265"/>
      <c r="E125" s="254"/>
      <c r="F125" s="158"/>
      <c r="G125" s="27"/>
    </row>
    <row r="126" spans="2:13" x14ac:dyDescent="0.3">
      <c r="B126" s="252">
        <f t="shared" si="1"/>
        <v>108</v>
      </c>
      <c r="C126" s="263"/>
      <c r="D126" s="265"/>
      <c r="E126" s="254"/>
      <c r="F126" s="158"/>
      <c r="G126" s="27"/>
    </row>
    <row r="127" spans="2:13" x14ac:dyDescent="0.3">
      <c r="B127" s="252">
        <f t="shared" si="1"/>
        <v>109</v>
      </c>
      <c r="C127" s="263"/>
      <c r="D127" s="265"/>
      <c r="E127" s="254"/>
      <c r="F127" s="158"/>
      <c r="G127" s="27"/>
    </row>
    <row r="128" spans="2:13" x14ac:dyDescent="0.3">
      <c r="B128" s="252">
        <f t="shared" si="1"/>
        <v>110</v>
      </c>
      <c r="C128" s="263"/>
      <c r="D128" s="265"/>
      <c r="E128" s="254"/>
      <c r="F128" s="158"/>
      <c r="G128" s="27"/>
    </row>
    <row r="129" spans="2:7" x14ac:dyDescent="0.3">
      <c r="B129" s="252">
        <f t="shared" si="1"/>
        <v>111</v>
      </c>
      <c r="C129" s="263"/>
      <c r="D129" s="265"/>
      <c r="E129" s="254"/>
      <c r="F129" s="158"/>
      <c r="G129" s="27"/>
    </row>
    <row r="130" spans="2:7" x14ac:dyDescent="0.3">
      <c r="B130" s="252">
        <f t="shared" si="1"/>
        <v>112</v>
      </c>
      <c r="C130" s="263"/>
      <c r="D130" s="265"/>
      <c r="E130" s="254"/>
      <c r="F130" s="158"/>
      <c r="G130" s="27"/>
    </row>
    <row r="131" spans="2:7" x14ac:dyDescent="0.3">
      <c r="B131" s="252">
        <f t="shared" si="1"/>
        <v>113</v>
      </c>
      <c r="C131" s="263"/>
      <c r="D131" s="265"/>
      <c r="E131" s="254"/>
      <c r="F131" s="158"/>
      <c r="G131" s="27"/>
    </row>
    <row r="132" spans="2:7" x14ac:dyDescent="0.3">
      <c r="B132" s="252">
        <f t="shared" si="1"/>
        <v>114</v>
      </c>
      <c r="C132" s="263"/>
      <c r="D132" s="265"/>
      <c r="E132" s="254"/>
      <c r="F132" s="158"/>
      <c r="G132" s="27"/>
    </row>
    <row r="133" spans="2:7" x14ac:dyDescent="0.3">
      <c r="B133" s="252">
        <f t="shared" si="1"/>
        <v>115</v>
      </c>
      <c r="C133" s="263"/>
      <c r="D133" s="265"/>
      <c r="E133" s="254"/>
      <c r="F133" s="158"/>
      <c r="G133" s="27"/>
    </row>
    <row r="134" spans="2:7" x14ac:dyDescent="0.3">
      <c r="B134" s="252">
        <f t="shared" si="1"/>
        <v>116</v>
      </c>
      <c r="C134" s="263"/>
      <c r="D134" s="265"/>
      <c r="E134" s="254"/>
      <c r="F134" s="158"/>
      <c r="G134" s="27"/>
    </row>
    <row r="135" spans="2:7" x14ac:dyDescent="0.3">
      <c r="B135" s="252">
        <f t="shared" si="1"/>
        <v>117</v>
      </c>
      <c r="C135" s="263"/>
      <c r="D135" s="265"/>
      <c r="E135" s="254"/>
      <c r="F135" s="158"/>
      <c r="G135" s="27"/>
    </row>
    <row r="136" spans="2:7" x14ac:dyDescent="0.3">
      <c r="B136" s="252">
        <f t="shared" si="1"/>
        <v>118</v>
      </c>
      <c r="C136" s="263"/>
      <c r="D136" s="265"/>
      <c r="E136" s="254"/>
      <c r="F136" s="158"/>
      <c r="G136" s="27"/>
    </row>
    <row r="137" spans="2:7" x14ac:dyDescent="0.3">
      <c r="B137" s="252">
        <f t="shared" si="1"/>
        <v>119</v>
      </c>
      <c r="C137" s="263"/>
      <c r="D137" s="265"/>
      <c r="E137" s="254"/>
      <c r="F137" s="158"/>
      <c r="G137" s="27"/>
    </row>
    <row r="138" spans="2:7" x14ac:dyDescent="0.3">
      <c r="B138" s="252">
        <f t="shared" si="1"/>
        <v>120</v>
      </c>
      <c r="C138" s="263"/>
      <c r="D138" s="265"/>
      <c r="E138" s="254"/>
      <c r="F138" s="158"/>
      <c r="G138" s="27"/>
    </row>
    <row r="139" spans="2:7" x14ac:dyDescent="0.3">
      <c r="B139" s="252">
        <f t="shared" si="1"/>
        <v>121</v>
      </c>
      <c r="C139" s="263"/>
      <c r="D139" s="265"/>
      <c r="E139" s="254"/>
      <c r="F139" s="158"/>
      <c r="G139" s="27"/>
    </row>
    <row r="140" spans="2:7" x14ac:dyDescent="0.3">
      <c r="B140" s="252">
        <f t="shared" si="1"/>
        <v>122</v>
      </c>
      <c r="C140" s="263"/>
      <c r="D140" s="265"/>
      <c r="E140" s="254"/>
      <c r="F140" s="158"/>
      <c r="G140" s="27"/>
    </row>
    <row r="141" spans="2:7" x14ac:dyDescent="0.3">
      <c r="B141" s="252">
        <f t="shared" si="1"/>
        <v>123</v>
      </c>
      <c r="C141" s="261"/>
      <c r="D141" s="265"/>
      <c r="E141" s="254"/>
      <c r="F141" s="158"/>
      <c r="G141" s="27"/>
    </row>
    <row r="142" spans="2:7" x14ac:dyDescent="0.3">
      <c r="B142" s="252">
        <f t="shared" si="1"/>
        <v>124</v>
      </c>
      <c r="C142" s="261"/>
      <c r="D142" s="265"/>
      <c r="E142" s="254"/>
      <c r="F142" s="158"/>
      <c r="G142" s="27"/>
    </row>
    <row r="143" spans="2:7" x14ac:dyDescent="0.3">
      <c r="B143" s="252">
        <f t="shared" si="1"/>
        <v>125</v>
      </c>
      <c r="C143" s="261"/>
      <c r="D143" s="265"/>
      <c r="E143" s="254"/>
      <c r="F143" s="158"/>
      <c r="G143" s="27"/>
    </row>
    <row r="144" spans="2:7" x14ac:dyDescent="0.3">
      <c r="B144" s="252">
        <f t="shared" si="1"/>
        <v>126</v>
      </c>
      <c r="C144" s="261"/>
      <c r="D144" s="265"/>
      <c r="E144" s="254"/>
      <c r="F144" s="158"/>
      <c r="G144" s="27"/>
    </row>
    <row r="145" spans="2:6" x14ac:dyDescent="0.3">
      <c r="B145" s="252">
        <f t="shared" si="1"/>
        <v>127</v>
      </c>
      <c r="C145" s="261"/>
      <c r="D145" s="265"/>
      <c r="E145" s="254"/>
      <c r="F145" s="158"/>
    </row>
    <row r="146" spans="2:6" x14ac:dyDescent="0.3">
      <c r="B146" s="252">
        <f t="shared" si="1"/>
        <v>128</v>
      </c>
      <c r="C146" s="261"/>
      <c r="D146" s="265"/>
      <c r="E146" s="254"/>
      <c r="F146" s="158"/>
    </row>
    <row r="147" spans="2:6" x14ac:dyDescent="0.3">
      <c r="B147" s="252">
        <f t="shared" si="1"/>
        <v>129</v>
      </c>
      <c r="C147" s="261"/>
      <c r="D147" s="265"/>
      <c r="E147" s="254"/>
      <c r="F147" s="158"/>
    </row>
    <row r="148" spans="2:6" x14ac:dyDescent="0.3">
      <c r="B148" s="252">
        <f t="shared" si="1"/>
        <v>130</v>
      </c>
      <c r="C148" s="261"/>
      <c r="D148" s="265"/>
      <c r="E148" s="254"/>
      <c r="F148" s="158"/>
    </row>
    <row r="149" spans="2:6" x14ac:dyDescent="0.3">
      <c r="B149" s="252">
        <f t="shared" ref="B149:B168" si="2">1+B148</f>
        <v>131</v>
      </c>
      <c r="C149" s="261"/>
      <c r="D149" s="265"/>
      <c r="E149" s="254"/>
      <c r="F149" s="158"/>
    </row>
    <row r="150" spans="2:6" x14ac:dyDescent="0.3">
      <c r="B150" s="252">
        <f t="shared" si="2"/>
        <v>132</v>
      </c>
      <c r="C150" s="261"/>
      <c r="D150" s="265"/>
      <c r="E150" s="254"/>
      <c r="F150" s="158"/>
    </row>
    <row r="151" spans="2:6" x14ac:dyDescent="0.3">
      <c r="B151" s="252">
        <f t="shared" si="2"/>
        <v>133</v>
      </c>
      <c r="C151" s="261"/>
      <c r="D151" s="265"/>
      <c r="E151" s="254"/>
      <c r="F151" s="158"/>
    </row>
    <row r="152" spans="2:6" x14ac:dyDescent="0.3">
      <c r="B152" s="252">
        <f t="shared" si="2"/>
        <v>134</v>
      </c>
      <c r="C152" s="261"/>
      <c r="D152" s="264"/>
      <c r="E152" s="254"/>
      <c r="F152" s="158"/>
    </row>
    <row r="153" spans="2:6" x14ac:dyDescent="0.3">
      <c r="B153" s="252">
        <f t="shared" si="2"/>
        <v>135</v>
      </c>
      <c r="C153" s="261"/>
      <c r="D153" s="264"/>
      <c r="E153" s="254"/>
      <c r="F153" s="158"/>
    </row>
    <row r="154" spans="2:6" x14ac:dyDescent="0.3">
      <c r="B154" s="252">
        <f t="shared" si="2"/>
        <v>136</v>
      </c>
      <c r="C154" s="261"/>
      <c r="D154" s="264"/>
      <c r="E154" s="254"/>
      <c r="F154" s="158"/>
    </row>
    <row r="155" spans="2:6" x14ac:dyDescent="0.3">
      <c r="B155" s="252">
        <f t="shared" si="2"/>
        <v>137</v>
      </c>
      <c r="C155" s="261"/>
      <c r="D155" s="264"/>
      <c r="E155" s="254"/>
      <c r="F155" s="158"/>
    </row>
    <row r="156" spans="2:6" x14ac:dyDescent="0.3">
      <c r="B156" s="252">
        <f t="shared" si="2"/>
        <v>138</v>
      </c>
      <c r="C156" s="261"/>
      <c r="D156" s="264"/>
      <c r="E156" s="254"/>
      <c r="F156" s="158"/>
    </row>
    <row r="157" spans="2:6" ht="18" customHeight="1" x14ac:dyDescent="0.3">
      <c r="B157" s="252">
        <f t="shared" si="2"/>
        <v>139</v>
      </c>
      <c r="C157" s="261"/>
      <c r="D157" s="264"/>
      <c r="E157" s="254"/>
      <c r="F157" s="158"/>
    </row>
    <row r="158" spans="2:6" x14ac:dyDescent="0.3">
      <c r="B158" s="252">
        <f t="shared" si="2"/>
        <v>140</v>
      </c>
      <c r="C158" s="261"/>
      <c r="D158" s="264"/>
      <c r="E158" s="254"/>
      <c r="F158" s="158"/>
    </row>
    <row r="159" spans="2:6" x14ac:dyDescent="0.3">
      <c r="B159" s="252">
        <f t="shared" si="2"/>
        <v>141</v>
      </c>
      <c r="C159" s="261"/>
      <c r="D159" s="264"/>
      <c r="E159" s="254"/>
      <c r="F159" s="158"/>
    </row>
    <row r="160" spans="2:6" x14ac:dyDescent="0.3">
      <c r="B160" s="252">
        <f t="shared" si="2"/>
        <v>142</v>
      </c>
      <c r="C160" s="261"/>
      <c r="D160" s="264"/>
      <c r="E160" s="254"/>
      <c r="F160" s="158"/>
    </row>
    <row r="161" spans="2:6" x14ac:dyDescent="0.3">
      <c r="B161" s="252">
        <f t="shared" si="2"/>
        <v>143</v>
      </c>
      <c r="C161" s="261"/>
      <c r="D161" s="264"/>
      <c r="E161" s="254"/>
      <c r="F161" s="158"/>
    </row>
    <row r="162" spans="2:6" x14ac:dyDescent="0.3">
      <c r="B162" s="252">
        <f t="shared" si="2"/>
        <v>144</v>
      </c>
      <c r="C162" s="261"/>
      <c r="D162" s="264"/>
      <c r="E162" s="254"/>
      <c r="F162" s="158"/>
    </row>
    <row r="163" spans="2:6" x14ac:dyDescent="0.3">
      <c r="B163" s="252">
        <f t="shared" si="2"/>
        <v>145</v>
      </c>
      <c r="C163" s="261"/>
      <c r="D163" s="264"/>
      <c r="E163" s="254"/>
      <c r="F163" s="158"/>
    </row>
    <row r="164" spans="2:6" x14ac:dyDescent="0.3">
      <c r="B164" s="252">
        <f t="shared" si="2"/>
        <v>146</v>
      </c>
      <c r="C164" s="261"/>
      <c r="D164" s="264"/>
      <c r="E164" s="254"/>
      <c r="F164" s="158"/>
    </row>
    <row r="165" spans="2:6" x14ac:dyDescent="0.3">
      <c r="B165" s="252">
        <f t="shared" si="2"/>
        <v>147</v>
      </c>
      <c r="C165" s="261"/>
      <c r="D165" s="264"/>
      <c r="E165" s="254"/>
      <c r="F165" s="158"/>
    </row>
    <row r="166" spans="2:6" x14ac:dyDescent="0.3">
      <c r="B166" s="252">
        <f t="shared" si="2"/>
        <v>148</v>
      </c>
      <c r="C166" s="261"/>
      <c r="D166" s="264"/>
      <c r="E166" s="254"/>
      <c r="F166" s="158"/>
    </row>
    <row r="167" spans="2:6" x14ac:dyDescent="0.3">
      <c r="B167" s="252">
        <f t="shared" si="2"/>
        <v>149</v>
      </c>
      <c r="C167" s="261"/>
      <c r="D167" s="264"/>
      <c r="E167" s="254"/>
      <c r="F167" s="158"/>
    </row>
    <row r="168" spans="2:6" ht="15" thickBot="1" x14ac:dyDescent="0.35">
      <c r="B168" s="252">
        <f t="shared" si="2"/>
        <v>150</v>
      </c>
      <c r="C168" s="266"/>
      <c r="D168" s="267"/>
      <c r="E168" s="254"/>
      <c r="F168" s="158"/>
    </row>
    <row r="169" spans="2:6" x14ac:dyDescent="0.3">
      <c r="C169" s="27"/>
      <c r="D169" s="127"/>
      <c r="E169" s="27"/>
      <c r="F169" s="27"/>
    </row>
    <row r="170" spans="2:6" x14ac:dyDescent="0.3">
      <c r="C170" s="4"/>
      <c r="D170" s="128"/>
      <c r="E170" s="4"/>
      <c r="F170" s="4"/>
    </row>
    <row r="171" spans="2:6" x14ac:dyDescent="0.3">
      <c r="C171" s="4"/>
      <c r="D171" s="128"/>
      <c r="E171" s="4"/>
      <c r="F171" s="4"/>
    </row>
    <row r="172" spans="2:6" x14ac:dyDescent="0.3">
      <c r="C172" s="4"/>
      <c r="D172" s="128"/>
      <c r="E172" s="4"/>
      <c r="F172" s="4"/>
    </row>
    <row r="173" spans="2:6" x14ac:dyDescent="0.3">
      <c r="C173" s="27"/>
      <c r="D173" s="127"/>
      <c r="E173" s="27"/>
      <c r="F173" s="27"/>
    </row>
    <row r="174" spans="2:6" x14ac:dyDescent="0.3">
      <c r="C174" s="27"/>
      <c r="D174" s="127"/>
      <c r="E174" s="27"/>
      <c r="F174" s="27"/>
    </row>
    <row r="175" spans="2:6" x14ac:dyDescent="0.3">
      <c r="C175" s="27"/>
      <c r="D175" s="127"/>
      <c r="E175" s="27"/>
      <c r="F175" s="27"/>
    </row>
    <row r="176" spans="2:6" x14ac:dyDescent="0.3">
      <c r="C176" s="27"/>
      <c r="D176" s="127"/>
      <c r="E176" s="27"/>
      <c r="F176" s="27"/>
    </row>
    <row r="177" spans="3:6" x14ac:dyDescent="0.3">
      <c r="C177" s="27"/>
      <c r="D177" s="127"/>
      <c r="E177" s="27"/>
      <c r="F177" s="27"/>
    </row>
    <row r="178" spans="3:6" x14ac:dyDescent="0.3">
      <c r="C178" s="27"/>
      <c r="D178" s="127"/>
      <c r="E178" s="27"/>
      <c r="F178" s="27"/>
    </row>
    <row r="179" spans="3:6" x14ac:dyDescent="0.3">
      <c r="C179" s="27"/>
      <c r="D179" s="127"/>
      <c r="E179" s="27"/>
      <c r="F179" s="27"/>
    </row>
    <row r="180" spans="3:6" x14ac:dyDescent="0.3">
      <c r="C180" s="27"/>
      <c r="D180" s="127"/>
      <c r="E180" s="27"/>
      <c r="F180" s="27"/>
    </row>
    <row r="181" spans="3:6" x14ac:dyDescent="0.3">
      <c r="C181" s="27"/>
      <c r="D181" s="127"/>
      <c r="E181" s="27"/>
      <c r="F181" s="27"/>
    </row>
    <row r="182" spans="3:6" x14ac:dyDescent="0.3">
      <c r="C182" s="27"/>
      <c r="D182" s="127"/>
      <c r="E182" s="27"/>
      <c r="F182" s="27"/>
    </row>
    <row r="183" spans="3:6" x14ac:dyDescent="0.3">
      <c r="C183" s="27"/>
      <c r="D183" s="127"/>
      <c r="E183" s="27"/>
      <c r="F183" s="27"/>
    </row>
    <row r="184" spans="3:6" x14ac:dyDescent="0.3">
      <c r="C184" s="27"/>
      <c r="D184" s="127"/>
      <c r="E184" s="27"/>
      <c r="F184" s="27"/>
    </row>
    <row r="185" spans="3:6" x14ac:dyDescent="0.3">
      <c r="C185" s="27"/>
      <c r="D185" s="127"/>
      <c r="E185" s="27"/>
      <c r="F185" s="27"/>
    </row>
    <row r="186" spans="3:6" x14ac:dyDescent="0.3">
      <c r="C186" s="27"/>
      <c r="D186" s="127"/>
      <c r="E186" s="27"/>
      <c r="F186" s="27"/>
    </row>
    <row r="187" spans="3:6" x14ac:dyDescent="0.3">
      <c r="C187" s="27"/>
      <c r="D187" s="127"/>
      <c r="E187" s="27"/>
      <c r="F187" s="27"/>
    </row>
    <row r="188" spans="3:6" x14ac:dyDescent="0.3">
      <c r="C188" s="27"/>
      <c r="D188" s="127"/>
      <c r="E188" s="27"/>
      <c r="F188" s="27"/>
    </row>
    <row r="189" spans="3:6" x14ac:dyDescent="0.3">
      <c r="C189" s="27"/>
      <c r="D189" s="127"/>
      <c r="E189" s="27"/>
      <c r="F189" s="27"/>
    </row>
    <row r="190" spans="3:6" x14ac:dyDescent="0.3">
      <c r="C190" s="27"/>
      <c r="D190" s="127"/>
      <c r="E190" s="27"/>
      <c r="F190" s="27"/>
    </row>
    <row r="191" spans="3:6" x14ac:dyDescent="0.3">
      <c r="C191" s="27"/>
      <c r="D191" s="127"/>
      <c r="E191" s="27"/>
      <c r="F191" s="27"/>
    </row>
    <row r="192" spans="3:6" x14ac:dyDescent="0.3">
      <c r="C192" s="27"/>
      <c r="D192" s="127"/>
      <c r="E192" s="27"/>
      <c r="F192" s="27"/>
    </row>
    <row r="193" spans="3:6" x14ac:dyDescent="0.3">
      <c r="C193" s="27"/>
      <c r="D193" s="127"/>
      <c r="E193" s="27"/>
      <c r="F193" s="27"/>
    </row>
    <row r="194" spans="3:6" x14ac:dyDescent="0.3">
      <c r="C194" s="27"/>
      <c r="D194" s="127"/>
      <c r="E194" s="27"/>
      <c r="F194" s="27"/>
    </row>
    <row r="195" spans="3:6" x14ac:dyDescent="0.3">
      <c r="C195" s="27"/>
      <c r="D195" s="127"/>
      <c r="E195" s="27"/>
      <c r="F195" s="27"/>
    </row>
    <row r="196" spans="3:6" x14ac:dyDescent="0.3">
      <c r="C196" s="27"/>
      <c r="D196" s="127"/>
      <c r="E196" s="27"/>
      <c r="F196" s="27"/>
    </row>
    <row r="197" spans="3:6" x14ac:dyDescent="0.3">
      <c r="C197" s="27"/>
      <c r="D197" s="127"/>
      <c r="E197" s="27"/>
      <c r="F197" s="27"/>
    </row>
    <row r="198" spans="3:6" x14ac:dyDescent="0.3">
      <c r="C198" s="27"/>
      <c r="D198" s="127"/>
      <c r="E198" s="27"/>
      <c r="F198" s="27"/>
    </row>
    <row r="199" spans="3:6" x14ac:dyDescent="0.3">
      <c r="C199" s="27"/>
      <c r="D199" s="127"/>
      <c r="E199" s="27"/>
      <c r="F199" s="27"/>
    </row>
    <row r="200" spans="3:6" x14ac:dyDescent="0.3">
      <c r="C200" s="27"/>
      <c r="D200" s="127"/>
      <c r="E200" s="27"/>
      <c r="F200" s="27"/>
    </row>
    <row r="201" spans="3:6" x14ac:dyDescent="0.3">
      <c r="C201" s="27"/>
      <c r="D201" s="127"/>
      <c r="E201" s="27"/>
      <c r="F201" s="27"/>
    </row>
    <row r="202" spans="3:6" x14ac:dyDescent="0.3">
      <c r="C202" s="27"/>
      <c r="D202" s="127"/>
      <c r="E202" s="27"/>
      <c r="F202" s="27"/>
    </row>
    <row r="203" spans="3:6" x14ac:dyDescent="0.3">
      <c r="C203" s="27"/>
      <c r="D203" s="127"/>
      <c r="E203" s="27"/>
      <c r="F203" s="27"/>
    </row>
    <row r="204" spans="3:6" x14ac:dyDescent="0.3">
      <c r="C204" s="27"/>
      <c r="D204" s="127"/>
      <c r="E204" s="27"/>
      <c r="F204" s="27"/>
    </row>
    <row r="205" spans="3:6" x14ac:dyDescent="0.3">
      <c r="C205" s="27"/>
      <c r="D205" s="127"/>
      <c r="E205" s="27"/>
      <c r="F205" s="27"/>
    </row>
    <row r="206" spans="3:6" x14ac:dyDescent="0.3">
      <c r="C206" s="27"/>
      <c r="D206" s="127"/>
      <c r="E206" s="27"/>
      <c r="F206" s="27"/>
    </row>
    <row r="207" spans="3:6" x14ac:dyDescent="0.3">
      <c r="C207" s="27"/>
      <c r="D207" s="127"/>
      <c r="E207" s="27"/>
      <c r="F207" s="27"/>
    </row>
    <row r="208" spans="3:6" x14ac:dyDescent="0.3">
      <c r="C208" s="27"/>
      <c r="D208" s="127"/>
      <c r="E208" s="27"/>
      <c r="F208" s="27"/>
    </row>
    <row r="209" spans="3:6" x14ac:dyDescent="0.3">
      <c r="C209" s="27"/>
      <c r="D209" s="127"/>
      <c r="E209" s="27"/>
      <c r="F209" s="27"/>
    </row>
    <row r="210" spans="3:6" x14ac:dyDescent="0.3">
      <c r="C210" s="27"/>
      <c r="D210" s="127"/>
      <c r="E210" s="27"/>
      <c r="F210" s="27"/>
    </row>
    <row r="211" spans="3:6" x14ac:dyDescent="0.3">
      <c r="C211" s="27"/>
      <c r="D211" s="127"/>
      <c r="E211" s="27"/>
      <c r="F211" s="27"/>
    </row>
    <row r="212" spans="3:6" x14ac:dyDescent="0.3">
      <c r="C212" s="27"/>
      <c r="D212" s="127"/>
      <c r="E212" s="27"/>
      <c r="F212" s="27"/>
    </row>
    <row r="213" spans="3:6" x14ac:dyDescent="0.3">
      <c r="C213" s="27"/>
      <c r="D213" s="127"/>
      <c r="E213" s="27"/>
      <c r="F213" s="27"/>
    </row>
    <row r="214" spans="3:6" x14ac:dyDescent="0.3">
      <c r="C214" s="27"/>
      <c r="D214" s="127"/>
      <c r="E214" s="27"/>
      <c r="F214" s="27"/>
    </row>
    <row r="215" spans="3:6" x14ac:dyDescent="0.3">
      <c r="C215" s="27"/>
      <c r="D215" s="127"/>
      <c r="E215" s="27"/>
      <c r="F215" s="27"/>
    </row>
    <row r="216" spans="3:6" x14ac:dyDescent="0.3">
      <c r="C216" s="27"/>
      <c r="D216" s="127"/>
      <c r="E216" s="27"/>
      <c r="F216" s="27"/>
    </row>
    <row r="217" spans="3:6" x14ac:dyDescent="0.3">
      <c r="C217" s="27"/>
      <c r="D217" s="127"/>
      <c r="E217" s="27"/>
      <c r="F217" s="27"/>
    </row>
    <row r="218" spans="3:6" x14ac:dyDescent="0.3">
      <c r="C218" s="27"/>
      <c r="D218" s="127"/>
      <c r="E218" s="27"/>
      <c r="F218" s="27"/>
    </row>
    <row r="219" spans="3:6" x14ac:dyDescent="0.3">
      <c r="C219" s="27"/>
      <c r="D219" s="127"/>
      <c r="E219" s="27"/>
      <c r="F219" s="27"/>
    </row>
    <row r="220" spans="3:6" x14ac:dyDescent="0.3">
      <c r="C220" s="27"/>
      <c r="D220" s="127"/>
      <c r="E220" s="27"/>
      <c r="F220" s="27"/>
    </row>
    <row r="1048534" spans="16377:16382" x14ac:dyDescent="0.3">
      <c r="XFB1048534" s="195" t="s">
        <v>39</v>
      </c>
    </row>
    <row r="1048535" spans="16377:16382" x14ac:dyDescent="0.3">
      <c r="XEW1048535" s="37"/>
      <c r="XEX1048535" s="38"/>
      <c r="XEY1048535" s="196" t="s">
        <v>52</v>
      </c>
      <c r="XEZ1048535" s="196" t="s">
        <v>53</v>
      </c>
      <c r="XFA1048535" s="196" t="s">
        <v>40</v>
      </c>
      <c r="XFB1048535" s="197">
        <v>43127</v>
      </c>
    </row>
    <row r="1048536" spans="16377:16382" x14ac:dyDescent="0.3">
      <c r="XEX1048536" s="38"/>
      <c r="XEY1048536" s="196"/>
      <c r="XEZ1048536" s="196" t="s">
        <v>54</v>
      </c>
      <c r="XFA1048536" s="196" t="s">
        <v>41</v>
      </c>
      <c r="XFB1048536" s="197">
        <v>43158</v>
      </c>
    </row>
    <row r="1048537" spans="16377:16382" x14ac:dyDescent="0.3">
      <c r="XEX1048537" s="38"/>
      <c r="XEY1048537" s="196"/>
      <c r="XEZ1048537" s="196" t="s">
        <v>55</v>
      </c>
      <c r="XFA1048537" s="196" t="s">
        <v>42</v>
      </c>
      <c r="XFB1048537" s="197">
        <v>43186</v>
      </c>
    </row>
    <row r="1048538" spans="16377:16382" x14ac:dyDescent="0.3">
      <c r="XEX1048538" s="38"/>
      <c r="XEY1048538" s="196"/>
      <c r="XEZ1048538" s="196" t="s">
        <v>56</v>
      </c>
      <c r="XFA1048538" s="196" t="s">
        <v>43</v>
      </c>
      <c r="XFB1048538" s="197">
        <v>43217</v>
      </c>
    </row>
    <row r="1048539" spans="16377:16382" x14ac:dyDescent="0.3">
      <c r="XEX1048539" s="38"/>
      <c r="XEY1048539" s="196"/>
      <c r="XEZ1048539" s="196" t="s">
        <v>57</v>
      </c>
      <c r="XFA1048539" s="196" t="s">
        <v>44</v>
      </c>
      <c r="XFB1048539" s="197">
        <v>43247</v>
      </c>
    </row>
    <row r="1048540" spans="16377:16382" x14ac:dyDescent="0.3">
      <c r="XEX1048540" s="38"/>
      <c r="XEY1048540" s="196"/>
      <c r="XEZ1048540" s="196" t="s">
        <v>58</v>
      </c>
      <c r="XFA1048540" s="196" t="s">
        <v>45</v>
      </c>
      <c r="XFB1048540" s="197">
        <v>43278</v>
      </c>
    </row>
    <row r="1048541" spans="16377:16382" x14ac:dyDescent="0.3">
      <c r="XEX1048541" s="38"/>
      <c r="XEY1048541" s="196"/>
      <c r="XEZ1048541" s="196" t="s">
        <v>59</v>
      </c>
      <c r="XFA1048541" s="196" t="s">
        <v>46</v>
      </c>
      <c r="XFB1048541" s="197">
        <v>43308</v>
      </c>
    </row>
    <row r="1048542" spans="16377:16382" x14ac:dyDescent="0.3">
      <c r="XEX1048542" s="38"/>
      <c r="XEY1048542" s="196"/>
      <c r="XEZ1048542" s="196" t="s">
        <v>66</v>
      </c>
      <c r="XFA1048542" s="196" t="s">
        <v>47</v>
      </c>
      <c r="XFB1048542" s="197">
        <v>43339</v>
      </c>
    </row>
    <row r="1048543" spans="16377:16382" x14ac:dyDescent="0.3">
      <c r="XEX1048543" s="38"/>
      <c r="XEY1048543" s="196"/>
      <c r="XEZ1048543" s="196" t="s">
        <v>60</v>
      </c>
      <c r="XFA1048543" s="196" t="s">
        <v>48</v>
      </c>
      <c r="XFB1048543" s="197">
        <v>43370</v>
      </c>
    </row>
    <row r="1048544" spans="16377:16382" x14ac:dyDescent="0.3">
      <c r="XEX1048544" s="38"/>
      <c r="XEY1048544" s="196"/>
      <c r="XEZ1048544" s="196" t="s">
        <v>61</v>
      </c>
      <c r="XFA1048544" s="196" t="s">
        <v>49</v>
      </c>
      <c r="XFB1048544" s="197">
        <v>43400</v>
      </c>
    </row>
    <row r="1048545" spans="16378:16382" x14ac:dyDescent="0.3">
      <c r="XEX1048545" s="38"/>
      <c r="XEY1048545" s="196"/>
      <c r="XEZ1048545" s="196" t="s">
        <v>62</v>
      </c>
      <c r="XFA1048545" s="196" t="s">
        <v>50</v>
      </c>
      <c r="XFB1048545" s="197">
        <v>43431</v>
      </c>
    </row>
    <row r="1048546" spans="16378:16382" x14ac:dyDescent="0.3">
      <c r="XEX1048546" s="38"/>
      <c r="XEY1048546" s="196"/>
      <c r="XEZ1048546" s="196" t="s">
        <v>67</v>
      </c>
      <c r="XFA1048546" s="196" t="s">
        <v>51</v>
      </c>
      <c r="XFB1048546" s="197">
        <v>43461</v>
      </c>
    </row>
    <row r="1048547" spans="16378:16382" x14ac:dyDescent="0.3">
      <c r="XEX1048547" s="38"/>
      <c r="XEY1048547" s="196"/>
      <c r="XEZ1048547" s="196" t="s">
        <v>63</v>
      </c>
      <c r="XFA1048547" s="196"/>
      <c r="XFB1048547" s="197">
        <v>43492</v>
      </c>
    </row>
    <row r="1048548" spans="16378:16382" x14ac:dyDescent="0.3">
      <c r="XEX1048548" s="38"/>
      <c r="XEY1048548" s="196"/>
      <c r="XEZ1048548" s="196" t="s">
        <v>64</v>
      </c>
      <c r="XFA1048548" s="196"/>
      <c r="XFB1048548" s="197">
        <v>43523</v>
      </c>
    </row>
    <row r="1048549" spans="16378:16382" x14ac:dyDescent="0.3">
      <c r="XEX1048549" s="38"/>
      <c r="XEY1048549" s="196"/>
      <c r="XEZ1048549" s="196" t="s">
        <v>65</v>
      </c>
      <c r="XFA1048549" s="196"/>
      <c r="XFB1048549" s="197">
        <v>43551</v>
      </c>
    </row>
    <row r="1048550" spans="16378:16382" x14ac:dyDescent="0.3">
      <c r="XEX1048550" s="38"/>
      <c r="XEY1048550" s="196"/>
      <c r="XEZ1048550" s="196" t="s">
        <v>68</v>
      </c>
      <c r="XFA1048550" s="196"/>
      <c r="XFB1048550" s="197">
        <v>43582</v>
      </c>
    </row>
    <row r="1048551" spans="16378:16382" x14ac:dyDescent="0.3">
      <c r="XEX1048551" s="38"/>
      <c r="XEY1048551" s="196"/>
      <c r="XEZ1048551" s="196" t="s">
        <v>69</v>
      </c>
      <c r="XFA1048551" s="196"/>
      <c r="XFB1048551" s="197">
        <v>43612</v>
      </c>
    </row>
    <row r="1048552" spans="16378:16382" x14ac:dyDescent="0.3">
      <c r="XEX1048552" s="38"/>
      <c r="XFB1048552" s="197">
        <v>43643</v>
      </c>
    </row>
    <row r="1048553" spans="16378:16382" x14ac:dyDescent="0.3">
      <c r="XEX1048553" s="38"/>
      <c r="XFB1048553" s="197">
        <v>43673</v>
      </c>
    </row>
    <row r="1048554" spans="16378:16382" x14ac:dyDescent="0.3">
      <c r="XEX1048554" s="38"/>
      <c r="XFB1048554" s="197">
        <v>43704</v>
      </c>
    </row>
    <row r="1048555" spans="16378:16382" x14ac:dyDescent="0.3">
      <c r="XEX1048555" s="38"/>
      <c r="XFB1048555" s="197">
        <v>43735</v>
      </c>
    </row>
    <row r="1048556" spans="16378:16382" x14ac:dyDescent="0.3">
      <c r="XFB1048556" s="197">
        <v>43765</v>
      </c>
    </row>
    <row r="1048557" spans="16378:16382" x14ac:dyDescent="0.3">
      <c r="XFB1048557" s="197">
        <v>43796</v>
      </c>
    </row>
    <row r="1048558" spans="16378:16382" x14ac:dyDescent="0.3">
      <c r="XFB1048558" s="197">
        <v>43826</v>
      </c>
    </row>
    <row r="1048559" spans="16378:16382" x14ac:dyDescent="0.3">
      <c r="XFB1048559" s="197">
        <v>43857</v>
      </c>
    </row>
    <row r="1048560" spans="16378:16382" x14ac:dyDescent="0.3">
      <c r="XFB1048560" s="197">
        <v>43888</v>
      </c>
    </row>
    <row r="1048561" spans="16382:16382" x14ac:dyDescent="0.3">
      <c r="XFB1048561" s="197">
        <v>43917</v>
      </c>
    </row>
    <row r="1048562" spans="16382:16382" x14ac:dyDescent="0.3">
      <c r="XFB1048562" s="197">
        <v>43948</v>
      </c>
    </row>
    <row r="1048563" spans="16382:16382" x14ac:dyDescent="0.3">
      <c r="XFB1048563" s="197">
        <v>43978</v>
      </c>
    </row>
    <row r="1048564" spans="16382:16382" x14ac:dyDescent="0.3">
      <c r="XFB1048564" s="197">
        <v>44009</v>
      </c>
    </row>
    <row r="1048565" spans="16382:16382" x14ac:dyDescent="0.3">
      <c r="XFB1048565" s="197">
        <v>44039</v>
      </c>
    </row>
    <row r="1048566" spans="16382:16382" x14ac:dyDescent="0.3">
      <c r="XFB1048566" s="197">
        <v>44070</v>
      </c>
    </row>
    <row r="1048567" spans="16382:16382" x14ac:dyDescent="0.3">
      <c r="XFB1048567" s="197">
        <v>44101</v>
      </c>
    </row>
    <row r="1048568" spans="16382:16382" x14ac:dyDescent="0.3">
      <c r="XFB1048568" s="197">
        <v>44131</v>
      </c>
    </row>
    <row r="1048569" spans="16382:16382" x14ac:dyDescent="0.3">
      <c r="XFB1048569" s="197">
        <v>44162</v>
      </c>
    </row>
    <row r="1048570" spans="16382:16382" x14ac:dyDescent="0.3">
      <c r="XFB1048570" s="197">
        <v>44192</v>
      </c>
    </row>
  </sheetData>
  <sheetProtection algorithmName="SHA-512" hashValue="VsvfkYfeHOm9nNAizwmdrPvvceKp5VXP96vdfNJGBDF6zhBZXlLJh+nizR7tKNx9crhRQ1TSUJk0fgjwCasw+g==" saltValue="JFx+Py/W6IpDaMB3z4NXEA==" spinCount="100000" sheet="1" objects="1" scenarios="1"/>
  <sortState xmlns:xlrd2="http://schemas.microsoft.com/office/spreadsheetml/2017/richdata2" ref="C5:C62">
    <sortCondition ref="C5"/>
  </sortState>
  <dataConsolidate/>
  <mergeCells count="7">
    <mergeCell ref="E13:H14"/>
    <mergeCell ref="I8:J8"/>
    <mergeCell ref="I9:J9"/>
    <mergeCell ref="I10:J10"/>
    <mergeCell ref="A1:M6"/>
    <mergeCell ref="C8:C10"/>
    <mergeCell ref="E10:G10"/>
  </mergeCells>
  <dataValidations count="1">
    <dataValidation allowBlank="1" sqref="N1:XFD1048576 A7:A1048576 B7:B1048576 C11:C1048576 C7:C8 D7:E1048576 H7:M1048576 F7:G9 F11:G1048576" xr:uid="{00000000-0002-0000-0100-000000000000}"/>
  </dataValidations>
  <pageMargins left="0.7" right="0.7" top="0.75" bottom="0.75" header="0.3" footer="0.3"/>
  <pageSetup orientation="portrait" r:id="rId1"/>
  <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6" tint="0.39997558519241921"/>
  </sheetPr>
  <dimension ref="A1:CB482"/>
  <sheetViews>
    <sheetView showGridLines="0" showZeros="0" topLeftCell="D1" zoomScale="182" zoomScaleNormal="182" workbookViewId="0">
      <pane ySplit="10" topLeftCell="A11" activePane="bottomLeft" state="frozen"/>
      <selection activeCell="A10" sqref="A10"/>
      <selection pane="bottomLeft" sqref="A1:L1"/>
    </sheetView>
  </sheetViews>
  <sheetFormatPr baseColWidth="10" defaultColWidth="11.5546875" defaultRowHeight="14.4" x14ac:dyDescent="0.3"/>
  <cols>
    <col min="1" max="1" width="8.88671875" style="48" customWidth="1"/>
    <col min="2" max="2" width="2.88671875" style="48" hidden="1" customWidth="1"/>
    <col min="3" max="3" width="2.88671875" style="120" hidden="1" customWidth="1"/>
    <col min="4" max="4" width="10.109375" style="48" customWidth="1"/>
    <col min="5" max="5" width="17.88671875" style="48" customWidth="1"/>
    <col min="6" max="6" width="10.88671875" style="48" bestFit="1" customWidth="1"/>
    <col min="7" max="7" width="11.44140625" style="48" bestFit="1" customWidth="1"/>
    <col min="8" max="8" width="10.5546875" style="48" customWidth="1"/>
    <col min="9" max="9" width="8.5546875" style="48" customWidth="1"/>
    <col min="10" max="10" width="13.5546875" style="48" customWidth="1"/>
    <col min="11" max="11" width="16.88671875" style="48" customWidth="1"/>
    <col min="12" max="12" width="9.44140625" style="48" customWidth="1"/>
    <col min="13" max="14" width="11.5546875" style="1"/>
    <col min="15" max="15" width="12.5546875" style="1" customWidth="1"/>
    <col min="16" max="16" width="11.88671875" style="1" bestFit="1" customWidth="1"/>
    <col min="17" max="17" width="11.5546875" style="1"/>
    <col min="18" max="18" width="11" style="1" customWidth="1"/>
    <col min="19" max="16384" width="11.5546875" style="1"/>
  </cols>
  <sheetData>
    <row r="1" spans="1:17" x14ac:dyDescent="0.3">
      <c r="A1" s="328"/>
      <c r="B1" s="328"/>
      <c r="C1" s="328"/>
      <c r="D1" s="328"/>
      <c r="E1" s="328"/>
      <c r="F1" s="328"/>
      <c r="G1" s="328"/>
      <c r="H1" s="328"/>
      <c r="I1" s="328"/>
      <c r="J1" s="328"/>
      <c r="K1" s="328"/>
      <c r="L1" s="328"/>
    </row>
    <row r="2" spans="1:17" ht="18" x14ac:dyDescent="0.35">
      <c r="A2" s="329" t="s">
        <v>211</v>
      </c>
      <c r="B2" s="329"/>
      <c r="C2" s="329"/>
      <c r="D2" s="329"/>
      <c r="E2" s="329"/>
      <c r="F2" s="329"/>
      <c r="G2" s="329"/>
      <c r="H2" s="329"/>
      <c r="I2" s="329"/>
      <c r="J2" s="329"/>
      <c r="K2" s="329"/>
      <c r="L2" s="329"/>
    </row>
    <row r="3" spans="1:17" ht="15" customHeight="1" x14ac:dyDescent="0.3">
      <c r="A3" s="186"/>
      <c r="B3" s="186"/>
      <c r="C3" s="187"/>
      <c r="D3" s="186"/>
      <c r="E3" s="231" t="s">
        <v>130</v>
      </c>
      <c r="F3" s="345">
        <f>'INGRESO DE DATOS'!E10</f>
        <v>0</v>
      </c>
      <c r="G3" s="346"/>
      <c r="H3" s="346"/>
      <c r="I3" s="347"/>
      <c r="J3" s="186"/>
      <c r="K3" s="186"/>
      <c r="L3" s="186"/>
    </row>
    <row r="4" spans="1:17" x14ac:dyDescent="0.3">
      <c r="A4" s="185"/>
      <c r="B4" s="185"/>
      <c r="C4" s="188"/>
      <c r="D4" s="185"/>
      <c r="E4" s="232" t="s">
        <v>129</v>
      </c>
      <c r="F4" s="348">
        <f>'INGRESO DE DATOS'!I8</f>
        <v>0</v>
      </c>
      <c r="G4" s="348"/>
      <c r="H4" s="348"/>
      <c r="I4" s="348"/>
      <c r="J4" s="185"/>
      <c r="K4" s="185"/>
      <c r="L4" s="185"/>
    </row>
    <row r="5" spans="1:17" x14ac:dyDescent="0.3">
      <c r="A5" s="189"/>
      <c r="B5" s="189"/>
      <c r="C5" s="190"/>
      <c r="D5" s="189"/>
      <c r="E5" s="232" t="s">
        <v>131</v>
      </c>
      <c r="F5" s="349">
        <f>'INGRESO DE DATOS'!I10</f>
        <v>0</v>
      </c>
      <c r="G5" s="349"/>
      <c r="H5" s="349"/>
      <c r="I5" s="184"/>
      <c r="J5" s="189"/>
      <c r="K5" s="189"/>
      <c r="L5" s="189"/>
    </row>
    <row r="6" spans="1:17" x14ac:dyDescent="0.3">
      <c r="A6" s="185"/>
      <c r="B6" s="185"/>
      <c r="C6" s="188"/>
      <c r="D6" s="185"/>
      <c r="E6" s="185"/>
      <c r="F6" s="344"/>
      <c r="G6" s="344"/>
      <c r="H6" s="185"/>
      <c r="I6" s="185"/>
      <c r="J6" s="185"/>
      <c r="K6" s="185"/>
      <c r="L6" s="185"/>
    </row>
    <row r="7" spans="1:17" ht="15" thickBot="1" x14ac:dyDescent="0.35">
      <c r="A7" s="337"/>
      <c r="B7" s="337"/>
      <c r="C7" s="337"/>
      <c r="D7" s="337"/>
      <c r="E7" s="337"/>
      <c r="F7" s="337"/>
      <c r="G7" s="337"/>
      <c r="H7" s="337"/>
      <c r="I7" s="337"/>
      <c r="J7" s="337"/>
      <c r="K7" s="337"/>
      <c r="L7" s="337"/>
      <c r="M7" s="2"/>
    </row>
    <row r="8" spans="1:17" ht="18.600000000000001" thickBot="1" x14ac:dyDescent="0.35">
      <c r="A8" s="332" t="s">
        <v>128</v>
      </c>
      <c r="B8" s="333"/>
      <c r="C8" s="333"/>
      <c r="D8" s="333"/>
      <c r="E8" s="333"/>
      <c r="F8" s="333"/>
      <c r="G8" s="333"/>
      <c r="H8" s="333"/>
      <c r="I8" s="333"/>
      <c r="J8" s="333"/>
      <c r="K8" s="333"/>
      <c r="L8" s="334"/>
    </row>
    <row r="9" spans="1:17" ht="15.75" customHeight="1" thickBot="1" x14ac:dyDescent="0.35">
      <c r="A9" s="335" t="s">
        <v>1</v>
      </c>
      <c r="B9" s="338" t="s">
        <v>2</v>
      </c>
      <c r="C9" s="339"/>
      <c r="D9" s="340"/>
      <c r="E9" s="335" t="s">
        <v>3</v>
      </c>
      <c r="F9" s="335" t="s">
        <v>4</v>
      </c>
      <c r="G9" s="335" t="s">
        <v>5</v>
      </c>
      <c r="H9" s="330" t="s">
        <v>81</v>
      </c>
      <c r="I9" s="330" t="s">
        <v>126</v>
      </c>
      <c r="J9" s="167" t="s">
        <v>38</v>
      </c>
      <c r="K9" s="352" t="s">
        <v>6</v>
      </c>
      <c r="L9" s="353"/>
    </row>
    <row r="10" spans="1:17" ht="14.25" customHeight="1" thickBot="1" x14ac:dyDescent="0.35">
      <c r="A10" s="336"/>
      <c r="B10" s="341"/>
      <c r="C10" s="342"/>
      <c r="D10" s="343"/>
      <c r="E10" s="336"/>
      <c r="F10" s="336"/>
      <c r="G10" s="336"/>
      <c r="H10" s="331"/>
      <c r="I10" s="331"/>
      <c r="J10" s="229" t="s">
        <v>124</v>
      </c>
      <c r="K10" s="225" t="s">
        <v>7</v>
      </c>
      <c r="L10" s="230" t="s">
        <v>8</v>
      </c>
    </row>
    <row r="11" spans="1:17" ht="14.25" customHeight="1" x14ac:dyDescent="0.3">
      <c r="A11" s="288"/>
      <c r="B11" s="322"/>
      <c r="C11" s="325"/>
      <c r="D11" s="290"/>
      <c r="E11" s="292">
        <f>+'INGRESO DE DATOS'!C19</f>
        <v>0</v>
      </c>
      <c r="F11" s="319">
        <f>+'INGRESO DE DATOS'!D19</f>
        <v>0</v>
      </c>
      <c r="G11" s="296">
        <f>IF('INGRESO DE DATOS'!F19&gt;=2,'INGRESO DE DATOS'!E19*'INGRESO DE DATOS'!F19,IF('INGRESO DE DATOS'!F19&lt;2,'INGRESO DE DATOS'!E19,0))+L11+L12+L13</f>
        <v>0</v>
      </c>
      <c r="H11" s="316">
        <f>IF('INGRESO DE DATOS'!F19&gt;=2,'INGRESO DE DATOS'!F19*10000,IF('INGRESO DE DATOS'!E19&lt;10000,'INGRESO DE DATOS'!E19,IF('INGRESO DE DATOS'!E19&gt;=10000,10000,0)))</f>
        <v>0</v>
      </c>
      <c r="I11" s="299">
        <f>IF('INGRESO DE DATOS'!F19&gt;=2,'INGRESO DE DATOS'!F19*3000,IF('INGRESO DE DATOS'!E19&gt;12000,3000,IF('INGRESO DE DATOS'!E19=12000,2000,IF('INGRESO DE DATOS'!E19&lt;12000,0))))</f>
        <v>0</v>
      </c>
      <c r="J11" s="301">
        <f>+G11-H11-I11-L11-L12-L13</f>
        <v>0</v>
      </c>
      <c r="K11" s="238"/>
      <c r="L11" s="233"/>
      <c r="M11" s="43"/>
      <c r="N11" s="44"/>
    </row>
    <row r="12" spans="1:17" ht="14.25" customHeight="1" x14ac:dyDescent="0.3">
      <c r="A12" s="279"/>
      <c r="B12" s="323"/>
      <c r="C12" s="326"/>
      <c r="D12" s="280"/>
      <c r="E12" s="281"/>
      <c r="F12" s="320"/>
      <c r="G12" s="283"/>
      <c r="H12" s="317"/>
      <c r="I12" s="286"/>
      <c r="J12" s="287"/>
      <c r="K12" s="239"/>
      <c r="L12" s="234"/>
      <c r="M12" s="43"/>
      <c r="N12" s="3"/>
      <c r="P12" s="3"/>
      <c r="Q12" s="3"/>
    </row>
    <row r="13" spans="1:17" ht="14.25" customHeight="1" thickBot="1" x14ac:dyDescent="0.35">
      <c r="A13" s="279"/>
      <c r="B13" s="323"/>
      <c r="C13" s="326"/>
      <c r="D13" s="280"/>
      <c r="E13" s="281"/>
      <c r="F13" s="320"/>
      <c r="G13" s="283"/>
      <c r="H13" s="317"/>
      <c r="I13" s="286"/>
      <c r="J13" s="287"/>
      <c r="K13" s="241"/>
      <c r="L13" s="242"/>
      <c r="M13" s="43"/>
    </row>
    <row r="14" spans="1:17" ht="14.25" customHeight="1" x14ac:dyDescent="0.3">
      <c r="A14" s="288"/>
      <c r="B14" s="322"/>
      <c r="C14" s="325"/>
      <c r="D14" s="290"/>
      <c r="E14" s="354">
        <f>+'INGRESO DE DATOS'!C20</f>
        <v>0</v>
      </c>
      <c r="F14" s="319">
        <f>+'INGRESO DE DATOS'!D20</f>
        <v>0</v>
      </c>
      <c r="G14" s="296">
        <f>IF('INGRESO DE DATOS'!F20&gt;=2,'INGRESO DE DATOS'!E20*'INGRESO DE DATOS'!F20,IF('INGRESO DE DATOS'!F20&lt;2,'INGRESO DE DATOS'!E20,0))+L14+L15+L16</f>
        <v>0</v>
      </c>
      <c r="H14" s="316">
        <f>IF('INGRESO DE DATOS'!F20&gt;=2,'INGRESO DE DATOS'!F20*10000,IF('INGRESO DE DATOS'!E20&lt;10000,'INGRESO DE DATOS'!E20,IF('INGRESO DE DATOS'!E20&gt;=10000,10000,0)))</f>
        <v>0</v>
      </c>
      <c r="I14" s="299">
        <f>IF('INGRESO DE DATOS'!F20&gt;=2,'INGRESO DE DATOS'!F20*3000,IF('INGRESO DE DATOS'!E20&gt;12000,3000,IF('INGRESO DE DATOS'!E20=12000,2000,IF('INGRESO DE DATOS'!E20&lt;12000,0))))</f>
        <v>0</v>
      </c>
      <c r="J14" s="301">
        <f>+G14-H14-I14-L14-L15-L16</f>
        <v>0</v>
      </c>
      <c r="K14" s="238"/>
      <c r="L14" s="233"/>
      <c r="M14" s="43"/>
    </row>
    <row r="15" spans="1:17" ht="14.25" customHeight="1" x14ac:dyDescent="0.3">
      <c r="A15" s="279"/>
      <c r="B15" s="323"/>
      <c r="C15" s="326"/>
      <c r="D15" s="280"/>
      <c r="E15" s="355"/>
      <c r="F15" s="320"/>
      <c r="G15" s="283"/>
      <c r="H15" s="317"/>
      <c r="I15" s="286"/>
      <c r="J15" s="287"/>
      <c r="K15" s="239"/>
      <c r="L15" s="234"/>
      <c r="M15" s="43"/>
      <c r="N15" s="44"/>
    </row>
    <row r="16" spans="1:17" ht="14.25" customHeight="1" thickBot="1" x14ac:dyDescent="0.35">
      <c r="A16" s="289"/>
      <c r="B16" s="324"/>
      <c r="C16" s="327"/>
      <c r="D16" s="291"/>
      <c r="E16" s="356"/>
      <c r="F16" s="321"/>
      <c r="G16" s="284"/>
      <c r="H16" s="318"/>
      <c r="I16" s="300"/>
      <c r="J16" s="302"/>
      <c r="K16" s="240"/>
      <c r="L16" s="236"/>
      <c r="M16" s="43"/>
    </row>
    <row r="17" spans="1:16" ht="14.25" customHeight="1" x14ac:dyDescent="0.3">
      <c r="A17" s="288"/>
      <c r="B17" s="322"/>
      <c r="C17" s="325"/>
      <c r="D17" s="290"/>
      <c r="E17" s="292">
        <f>+'INGRESO DE DATOS'!C21</f>
        <v>0</v>
      </c>
      <c r="F17" s="319">
        <f>+'INGRESO DE DATOS'!D21</f>
        <v>0</v>
      </c>
      <c r="G17" s="296">
        <f>IF('INGRESO DE DATOS'!F21&gt;=2,'INGRESO DE DATOS'!E21*'INGRESO DE DATOS'!F21,IF('INGRESO DE DATOS'!F21&lt;2,'INGRESO DE DATOS'!E21,0))+L17+L18+L19</f>
        <v>0</v>
      </c>
      <c r="H17" s="316">
        <f>IF('INGRESO DE DATOS'!F21&gt;=2,'INGRESO DE DATOS'!F21*10000,IF('INGRESO DE DATOS'!E21&lt;10000,'INGRESO DE DATOS'!E21,IF('INGRESO DE DATOS'!E21&gt;=10000,10000,0)))</f>
        <v>0</v>
      </c>
      <c r="I17" s="299">
        <f>IF('INGRESO DE DATOS'!F21&gt;=2,'INGRESO DE DATOS'!F21*3000,IF('INGRESO DE DATOS'!E21&gt;12000,3000,IF('INGRESO DE DATOS'!E21=12000,2000,IF('INGRESO DE DATOS'!E21&lt;12000,0))))</f>
        <v>0</v>
      </c>
      <c r="J17" s="301">
        <f>+G17-H17-I17-L17-L18-L19</f>
        <v>0</v>
      </c>
      <c r="K17" s="244"/>
      <c r="L17" s="233"/>
      <c r="M17" s="43"/>
      <c r="N17" s="3"/>
    </row>
    <row r="18" spans="1:16" ht="14.25" customHeight="1" x14ac:dyDescent="0.3">
      <c r="A18" s="279"/>
      <c r="B18" s="323"/>
      <c r="C18" s="326"/>
      <c r="D18" s="280"/>
      <c r="E18" s="281"/>
      <c r="F18" s="320"/>
      <c r="G18" s="283"/>
      <c r="H18" s="317"/>
      <c r="I18" s="286"/>
      <c r="J18" s="287"/>
      <c r="K18" s="239"/>
      <c r="L18" s="234"/>
      <c r="M18" s="43"/>
      <c r="O18" s="3"/>
      <c r="P18" s="3"/>
    </row>
    <row r="19" spans="1:16" ht="14.25" customHeight="1" thickBot="1" x14ac:dyDescent="0.35">
      <c r="A19" s="289"/>
      <c r="B19" s="324"/>
      <c r="C19" s="327"/>
      <c r="D19" s="291"/>
      <c r="E19" s="293"/>
      <c r="F19" s="321"/>
      <c r="G19" s="284"/>
      <c r="H19" s="318"/>
      <c r="I19" s="300"/>
      <c r="J19" s="302"/>
      <c r="K19" s="240"/>
      <c r="L19" s="236"/>
      <c r="M19" s="43"/>
    </row>
    <row r="20" spans="1:16" ht="14.25" customHeight="1" x14ac:dyDescent="0.3">
      <c r="A20" s="288"/>
      <c r="B20" s="322"/>
      <c r="C20" s="325"/>
      <c r="D20" s="290"/>
      <c r="E20" s="292">
        <f>+'INGRESO DE DATOS'!C22</f>
        <v>0</v>
      </c>
      <c r="F20" s="319">
        <f>+'INGRESO DE DATOS'!D22</f>
        <v>0</v>
      </c>
      <c r="G20" s="296">
        <f>IF('INGRESO DE DATOS'!F22&gt;=2,'INGRESO DE DATOS'!E22*'INGRESO DE DATOS'!F22,IF('INGRESO DE DATOS'!F22&lt;2,'INGRESO DE DATOS'!E22,0))+L20+L21+L22</f>
        <v>0</v>
      </c>
      <c r="H20" s="316">
        <f>IF('INGRESO DE DATOS'!F22&gt;=2,'INGRESO DE DATOS'!F22*10000,IF('INGRESO DE DATOS'!E22&lt;10000,'INGRESO DE DATOS'!E22,IF('INGRESO DE DATOS'!E22&gt;=10000,10000,0)))</f>
        <v>0</v>
      </c>
      <c r="I20" s="299">
        <f>IF('INGRESO DE DATOS'!F22&gt;=2,'INGRESO DE DATOS'!F22*3000,IF('INGRESO DE DATOS'!E22&gt;12000,3000,IF('INGRESO DE DATOS'!E22=12000,2000,IF('INGRESO DE DATOS'!E22&lt;12000,0))))</f>
        <v>0</v>
      </c>
      <c r="J20" s="301">
        <f>+G20-H20-I20-L20-L21-L22</f>
        <v>0</v>
      </c>
      <c r="K20" s="238"/>
      <c r="L20" s="233"/>
      <c r="M20" s="43"/>
    </row>
    <row r="21" spans="1:16" ht="14.25" customHeight="1" x14ac:dyDescent="0.3">
      <c r="A21" s="279"/>
      <c r="B21" s="323"/>
      <c r="C21" s="326"/>
      <c r="D21" s="280"/>
      <c r="E21" s="281"/>
      <c r="F21" s="320"/>
      <c r="G21" s="283"/>
      <c r="H21" s="317"/>
      <c r="I21" s="286"/>
      <c r="J21" s="287"/>
      <c r="K21" s="239"/>
      <c r="L21" s="234"/>
      <c r="M21" s="43"/>
    </row>
    <row r="22" spans="1:16" ht="14.25" customHeight="1" thickBot="1" x14ac:dyDescent="0.35">
      <c r="A22" s="289"/>
      <c r="B22" s="324"/>
      <c r="C22" s="327"/>
      <c r="D22" s="291"/>
      <c r="E22" s="293"/>
      <c r="F22" s="321"/>
      <c r="G22" s="284"/>
      <c r="H22" s="318"/>
      <c r="I22" s="300"/>
      <c r="J22" s="302"/>
      <c r="K22" s="240"/>
      <c r="L22" s="236"/>
      <c r="M22" s="43"/>
    </row>
    <row r="23" spans="1:16" ht="14.25" customHeight="1" x14ac:dyDescent="0.3">
      <c r="A23" s="288"/>
      <c r="B23" s="322"/>
      <c r="C23" s="325"/>
      <c r="D23" s="290"/>
      <c r="E23" s="292">
        <f>+'INGRESO DE DATOS'!C23</f>
        <v>0</v>
      </c>
      <c r="F23" s="319">
        <f>+'INGRESO DE DATOS'!D23</f>
        <v>0</v>
      </c>
      <c r="G23" s="296">
        <f>IF('INGRESO DE DATOS'!F23&gt;=2,'INGRESO DE DATOS'!E23*'INGRESO DE DATOS'!F23,IF('INGRESO DE DATOS'!F23&lt;2,'INGRESO DE DATOS'!E23,0))+L23+L24+L25</f>
        <v>0</v>
      </c>
      <c r="H23" s="316">
        <f>IF('INGRESO DE DATOS'!F23&gt;=2,'INGRESO DE DATOS'!F23*10000,IF('INGRESO DE DATOS'!E23&lt;10000,'INGRESO DE DATOS'!E23,IF('INGRESO DE DATOS'!E23&gt;=10000,10000,0)))</f>
        <v>0</v>
      </c>
      <c r="I23" s="299">
        <f>IF('INGRESO DE DATOS'!F23&gt;=2,'INGRESO DE DATOS'!F23*3000,IF('INGRESO DE DATOS'!E23&gt;12000,3000,IF('INGRESO DE DATOS'!E23=12000,2000,IF('INGRESO DE DATOS'!E23&lt;12000,0))))</f>
        <v>0</v>
      </c>
      <c r="J23" s="301">
        <f>+G23-H23-I23-L23-L24-L25</f>
        <v>0</v>
      </c>
      <c r="K23" s="244"/>
      <c r="L23" s="233"/>
      <c r="M23" s="43"/>
    </row>
    <row r="24" spans="1:16" ht="14.25" customHeight="1" x14ac:dyDescent="0.3">
      <c r="A24" s="279"/>
      <c r="B24" s="323"/>
      <c r="C24" s="326"/>
      <c r="D24" s="280"/>
      <c r="E24" s="281"/>
      <c r="F24" s="320"/>
      <c r="G24" s="283"/>
      <c r="H24" s="317"/>
      <c r="I24" s="286"/>
      <c r="J24" s="287"/>
      <c r="K24" s="239"/>
      <c r="L24" s="234"/>
      <c r="M24" s="43"/>
    </row>
    <row r="25" spans="1:16" ht="14.25" customHeight="1" thickBot="1" x14ac:dyDescent="0.35">
      <c r="A25" s="289"/>
      <c r="B25" s="324"/>
      <c r="C25" s="327"/>
      <c r="D25" s="291"/>
      <c r="E25" s="293"/>
      <c r="F25" s="321"/>
      <c r="G25" s="284"/>
      <c r="H25" s="318"/>
      <c r="I25" s="300"/>
      <c r="J25" s="302"/>
      <c r="K25" s="240"/>
      <c r="L25" s="236"/>
      <c r="M25" s="43"/>
    </row>
    <row r="26" spans="1:16" ht="14.25" customHeight="1" x14ac:dyDescent="0.3">
      <c r="A26" s="288"/>
      <c r="B26" s="322"/>
      <c r="C26" s="325"/>
      <c r="D26" s="290"/>
      <c r="E26" s="292">
        <f>+'INGRESO DE DATOS'!C24</f>
        <v>0</v>
      </c>
      <c r="F26" s="319">
        <f>+'INGRESO DE DATOS'!D24</f>
        <v>0</v>
      </c>
      <c r="G26" s="296">
        <f>IF('INGRESO DE DATOS'!F24&gt;=2,'INGRESO DE DATOS'!E24*'INGRESO DE DATOS'!F24,IF('INGRESO DE DATOS'!F24&lt;2,'INGRESO DE DATOS'!E24,0))+L26+L27+L28</f>
        <v>0</v>
      </c>
      <c r="H26" s="316">
        <f>IF('INGRESO DE DATOS'!F24&gt;=2,'INGRESO DE DATOS'!F24*10000,IF('INGRESO DE DATOS'!E24&lt;10000,'INGRESO DE DATOS'!E24,IF('INGRESO DE DATOS'!E24&gt;=10000,10000,0)))</f>
        <v>0</v>
      </c>
      <c r="I26" s="299">
        <f>IF('INGRESO DE DATOS'!F24&gt;=2,'INGRESO DE DATOS'!F24*3000,IF('INGRESO DE DATOS'!E24&gt;12000,3000,IF('INGRESO DE DATOS'!E24=12000,2000,IF('INGRESO DE DATOS'!E24&lt;12000,0))))</f>
        <v>0</v>
      </c>
      <c r="J26" s="301">
        <f>+G26-H26-I26-L26-L27-L28</f>
        <v>0</v>
      </c>
      <c r="K26" s="238"/>
      <c r="L26" s="233"/>
      <c r="M26" s="43"/>
    </row>
    <row r="27" spans="1:16" ht="14.25" customHeight="1" x14ac:dyDescent="0.3">
      <c r="A27" s="279"/>
      <c r="B27" s="323"/>
      <c r="C27" s="326"/>
      <c r="D27" s="280"/>
      <c r="E27" s="281"/>
      <c r="F27" s="320"/>
      <c r="G27" s="283"/>
      <c r="H27" s="317"/>
      <c r="I27" s="286"/>
      <c r="J27" s="287"/>
      <c r="K27" s="239"/>
      <c r="L27" s="234"/>
      <c r="M27" s="43"/>
    </row>
    <row r="28" spans="1:16" ht="14.25" customHeight="1" thickBot="1" x14ac:dyDescent="0.35">
      <c r="A28" s="289"/>
      <c r="B28" s="324"/>
      <c r="C28" s="327"/>
      <c r="D28" s="291"/>
      <c r="E28" s="293"/>
      <c r="F28" s="321"/>
      <c r="G28" s="284"/>
      <c r="H28" s="318"/>
      <c r="I28" s="300"/>
      <c r="J28" s="302"/>
      <c r="K28" s="240"/>
      <c r="L28" s="236"/>
      <c r="M28" s="43"/>
    </row>
    <row r="29" spans="1:16" ht="14.25" customHeight="1" x14ac:dyDescent="0.3">
      <c r="A29" s="279"/>
      <c r="B29" s="323"/>
      <c r="C29" s="326"/>
      <c r="D29" s="280"/>
      <c r="E29" s="281">
        <f>+'INGRESO DE DATOS'!C25</f>
        <v>0</v>
      </c>
      <c r="F29" s="320">
        <f>+'INGRESO DE DATOS'!D25</f>
        <v>0</v>
      </c>
      <c r="G29" s="283">
        <f>IF('INGRESO DE DATOS'!F25&gt;=2,'INGRESO DE DATOS'!E25*'INGRESO DE DATOS'!F25,IF('INGRESO DE DATOS'!F25&lt;2,'INGRESO DE DATOS'!E25,0))+L29+L30+L31</f>
        <v>0</v>
      </c>
      <c r="H29" s="317">
        <f>IF('INGRESO DE DATOS'!F25&gt;=2,'INGRESO DE DATOS'!F25*10000,IF('INGRESO DE DATOS'!E25&lt;10000,'INGRESO DE DATOS'!E25,IF('INGRESO DE DATOS'!E25&gt;=10000,10000,0)))</f>
        <v>0</v>
      </c>
      <c r="I29" s="286">
        <f>IF('INGRESO DE DATOS'!F25&gt;=2,'INGRESO DE DATOS'!F25*3000,IF('INGRESO DE DATOS'!E25&gt;12000,3000,IF('INGRESO DE DATOS'!E25=12000,2000,IF('INGRESO DE DATOS'!E25&lt;12000,0))))</f>
        <v>0</v>
      </c>
      <c r="J29" s="287">
        <f>+G29-H29-I29-L29-L30-L31</f>
        <v>0</v>
      </c>
      <c r="K29" s="243"/>
      <c r="L29" s="235"/>
      <c r="M29" s="43"/>
    </row>
    <row r="30" spans="1:16" ht="14.25" customHeight="1" x14ac:dyDescent="0.3">
      <c r="A30" s="279"/>
      <c r="B30" s="323"/>
      <c r="C30" s="326"/>
      <c r="D30" s="280"/>
      <c r="E30" s="281"/>
      <c r="F30" s="320"/>
      <c r="G30" s="283"/>
      <c r="H30" s="317"/>
      <c r="I30" s="286"/>
      <c r="J30" s="287"/>
      <c r="K30" s="239"/>
      <c r="L30" s="234"/>
      <c r="M30" s="43"/>
    </row>
    <row r="31" spans="1:16" ht="14.25" customHeight="1" thickBot="1" x14ac:dyDescent="0.35">
      <c r="A31" s="279"/>
      <c r="B31" s="323"/>
      <c r="C31" s="326"/>
      <c r="D31" s="280"/>
      <c r="E31" s="281"/>
      <c r="F31" s="320"/>
      <c r="G31" s="283"/>
      <c r="H31" s="317"/>
      <c r="I31" s="286"/>
      <c r="J31" s="287"/>
      <c r="K31" s="241"/>
      <c r="L31" s="242"/>
      <c r="M31" s="43"/>
    </row>
    <row r="32" spans="1:16" ht="14.25" customHeight="1" x14ac:dyDescent="0.3">
      <c r="A32" s="288"/>
      <c r="B32" s="322"/>
      <c r="C32" s="325"/>
      <c r="D32" s="290"/>
      <c r="E32" s="292">
        <f>+'INGRESO DE DATOS'!C26</f>
        <v>0</v>
      </c>
      <c r="F32" s="319">
        <f>+'INGRESO DE DATOS'!D26</f>
        <v>0</v>
      </c>
      <c r="G32" s="296">
        <f>IF('INGRESO DE DATOS'!F26&gt;=2,'INGRESO DE DATOS'!E26*'INGRESO DE DATOS'!F26,IF('INGRESO DE DATOS'!F26&lt;2,'INGRESO DE DATOS'!E26,0))+L32+L33+L34</f>
        <v>0</v>
      </c>
      <c r="H32" s="316">
        <f>IF('INGRESO DE DATOS'!F26&gt;=2,'INGRESO DE DATOS'!F26*10000,IF('INGRESO DE DATOS'!E26&lt;10000,'INGRESO DE DATOS'!E26,IF('INGRESO DE DATOS'!E26&gt;=10000,10000,0)))</f>
        <v>0</v>
      </c>
      <c r="I32" s="299">
        <f>IF('INGRESO DE DATOS'!F26&gt;=2,'INGRESO DE DATOS'!F26*3000,IF('INGRESO DE DATOS'!E26&gt;12000,3000,IF('INGRESO DE DATOS'!E26=12000,2000,IF('INGRESO DE DATOS'!E26&lt;12000,0))))</f>
        <v>0</v>
      </c>
      <c r="J32" s="301">
        <f>+G32-H32-I32-L32-L33-L34</f>
        <v>0</v>
      </c>
      <c r="K32" s="244"/>
      <c r="L32" s="233"/>
      <c r="M32" s="43"/>
    </row>
    <row r="33" spans="1:13" ht="14.25" customHeight="1" x14ac:dyDescent="0.3">
      <c r="A33" s="279"/>
      <c r="B33" s="323"/>
      <c r="C33" s="326"/>
      <c r="D33" s="280"/>
      <c r="E33" s="281"/>
      <c r="F33" s="320"/>
      <c r="G33" s="283"/>
      <c r="H33" s="317"/>
      <c r="I33" s="286"/>
      <c r="J33" s="287"/>
      <c r="K33" s="239"/>
      <c r="L33" s="234"/>
      <c r="M33" s="43"/>
    </row>
    <row r="34" spans="1:13" ht="14.25" customHeight="1" thickBot="1" x14ac:dyDescent="0.35">
      <c r="A34" s="289"/>
      <c r="B34" s="324"/>
      <c r="C34" s="327"/>
      <c r="D34" s="291"/>
      <c r="E34" s="293"/>
      <c r="F34" s="321"/>
      <c r="G34" s="284"/>
      <c r="H34" s="318"/>
      <c r="I34" s="300"/>
      <c r="J34" s="302"/>
      <c r="K34" s="240"/>
      <c r="L34" s="236"/>
      <c r="M34" s="43"/>
    </row>
    <row r="35" spans="1:13" ht="14.25" customHeight="1" x14ac:dyDescent="0.3">
      <c r="A35" s="288"/>
      <c r="B35" s="322"/>
      <c r="C35" s="325"/>
      <c r="D35" s="290"/>
      <c r="E35" s="292">
        <f>+'INGRESO DE DATOS'!C27</f>
        <v>0</v>
      </c>
      <c r="F35" s="319">
        <f>+'INGRESO DE DATOS'!D27</f>
        <v>0</v>
      </c>
      <c r="G35" s="296">
        <f>IF('INGRESO DE DATOS'!F27&gt;=2,'INGRESO DE DATOS'!E27*'INGRESO DE DATOS'!F27,IF('INGRESO DE DATOS'!F27&lt;2,'INGRESO DE DATOS'!E27,0))+L35+L36+L37</f>
        <v>0</v>
      </c>
      <c r="H35" s="316">
        <f>IF('INGRESO DE DATOS'!F27&gt;=2,'INGRESO DE DATOS'!F27*10000,IF('INGRESO DE DATOS'!E27&lt;10000,'INGRESO DE DATOS'!E27,IF('INGRESO DE DATOS'!E27&gt;=10000,10000,0)))</f>
        <v>0</v>
      </c>
      <c r="I35" s="299">
        <f>IF('INGRESO DE DATOS'!F27&gt;=2,'INGRESO DE DATOS'!F27*3000,IF('INGRESO DE DATOS'!E27&gt;12000,3000,IF('INGRESO DE DATOS'!E27=12000,2000,IF('INGRESO DE DATOS'!E27&lt;12000,0))))</f>
        <v>0</v>
      </c>
      <c r="J35" s="301">
        <f>+G35-H35-I35-L35-L36-L37</f>
        <v>0</v>
      </c>
      <c r="K35" s="238"/>
      <c r="L35" s="233"/>
      <c r="M35" s="43"/>
    </row>
    <row r="36" spans="1:13" ht="14.25" customHeight="1" x14ac:dyDescent="0.3">
      <c r="A36" s="279"/>
      <c r="B36" s="323"/>
      <c r="C36" s="326"/>
      <c r="D36" s="280"/>
      <c r="E36" s="281"/>
      <c r="F36" s="320"/>
      <c r="G36" s="283"/>
      <c r="H36" s="317"/>
      <c r="I36" s="286"/>
      <c r="J36" s="287"/>
      <c r="K36" s="239"/>
      <c r="L36" s="234"/>
      <c r="M36" s="43"/>
    </row>
    <row r="37" spans="1:13" ht="14.25" customHeight="1" thickBot="1" x14ac:dyDescent="0.35">
      <c r="A37" s="289"/>
      <c r="B37" s="324"/>
      <c r="C37" s="327"/>
      <c r="D37" s="291"/>
      <c r="E37" s="293"/>
      <c r="F37" s="321"/>
      <c r="G37" s="284"/>
      <c r="H37" s="318"/>
      <c r="I37" s="300"/>
      <c r="J37" s="302"/>
      <c r="K37" s="240"/>
      <c r="L37" s="236"/>
      <c r="M37" s="43"/>
    </row>
    <row r="38" spans="1:13" ht="14.25" customHeight="1" x14ac:dyDescent="0.3">
      <c r="A38" s="288"/>
      <c r="B38" s="322"/>
      <c r="C38" s="325"/>
      <c r="D38" s="290"/>
      <c r="E38" s="292">
        <f>+'INGRESO DE DATOS'!C28</f>
        <v>0</v>
      </c>
      <c r="F38" s="319">
        <f>+'INGRESO DE DATOS'!D28</f>
        <v>0</v>
      </c>
      <c r="G38" s="296">
        <f>IF('INGRESO DE DATOS'!F28&gt;=2,'INGRESO DE DATOS'!E28*'INGRESO DE DATOS'!F28,IF('INGRESO DE DATOS'!F28&lt;2,'INGRESO DE DATOS'!E28,0))+L38+L39+L40</f>
        <v>0</v>
      </c>
      <c r="H38" s="316">
        <f>IF('INGRESO DE DATOS'!F28&gt;=2,'INGRESO DE DATOS'!F28*10000,IF('INGRESO DE DATOS'!E28&lt;10000,'INGRESO DE DATOS'!E28,IF('INGRESO DE DATOS'!E28&gt;=10000,10000,0)))</f>
        <v>0</v>
      </c>
      <c r="I38" s="299">
        <f>IF('INGRESO DE DATOS'!F28&gt;=2,'INGRESO DE DATOS'!F28*3000,IF('INGRESO DE DATOS'!E28&gt;12000,3000,IF('INGRESO DE DATOS'!E28=12000,2000,IF('INGRESO DE DATOS'!E28&lt;12000,0))))</f>
        <v>0</v>
      </c>
      <c r="J38" s="301">
        <f>+G38-H38-I38-L38-L39-L40</f>
        <v>0</v>
      </c>
      <c r="K38" s="238"/>
      <c r="L38" s="233"/>
      <c r="M38" s="43"/>
    </row>
    <row r="39" spans="1:13" ht="14.25" customHeight="1" x14ac:dyDescent="0.3">
      <c r="A39" s="279"/>
      <c r="B39" s="323"/>
      <c r="C39" s="326"/>
      <c r="D39" s="280"/>
      <c r="E39" s="281"/>
      <c r="F39" s="320"/>
      <c r="G39" s="283"/>
      <c r="H39" s="317"/>
      <c r="I39" s="286"/>
      <c r="J39" s="287"/>
      <c r="K39" s="239"/>
      <c r="L39" s="234"/>
      <c r="M39" s="43"/>
    </row>
    <row r="40" spans="1:13" ht="14.25" customHeight="1" thickBot="1" x14ac:dyDescent="0.35">
      <c r="A40" s="289"/>
      <c r="B40" s="324"/>
      <c r="C40" s="327"/>
      <c r="D40" s="291"/>
      <c r="E40" s="293"/>
      <c r="F40" s="321"/>
      <c r="G40" s="284"/>
      <c r="H40" s="318"/>
      <c r="I40" s="300"/>
      <c r="J40" s="302"/>
      <c r="K40" s="240"/>
      <c r="L40" s="236"/>
      <c r="M40" s="43"/>
    </row>
    <row r="41" spans="1:13" ht="14.25" customHeight="1" x14ac:dyDescent="0.3">
      <c r="A41" s="288"/>
      <c r="B41" s="322"/>
      <c r="C41" s="325"/>
      <c r="D41" s="290"/>
      <c r="E41" s="292">
        <f>+'INGRESO DE DATOS'!C29</f>
        <v>0</v>
      </c>
      <c r="F41" s="319">
        <f>+'INGRESO DE DATOS'!D29</f>
        <v>0</v>
      </c>
      <c r="G41" s="296">
        <f>IF('INGRESO DE DATOS'!F29&gt;=2,'INGRESO DE DATOS'!E29*'INGRESO DE DATOS'!F29,IF('INGRESO DE DATOS'!F29&lt;2,'INGRESO DE DATOS'!E29,0))+L41+L42+L43</f>
        <v>0</v>
      </c>
      <c r="H41" s="316">
        <f>IF('INGRESO DE DATOS'!F29&gt;=2,'INGRESO DE DATOS'!F29*10000,IF('INGRESO DE DATOS'!E29&lt;10000,'INGRESO DE DATOS'!E29,IF('INGRESO DE DATOS'!E29&gt;=10000,10000,0)))</f>
        <v>0</v>
      </c>
      <c r="I41" s="299">
        <f>IF('INGRESO DE DATOS'!F29&gt;=2,'INGRESO DE DATOS'!F29*3000,IF('INGRESO DE DATOS'!E29&gt;12000,3000,IF('INGRESO DE DATOS'!E29=12000,2000,IF('INGRESO DE DATOS'!E29&lt;12000,0))))</f>
        <v>0</v>
      </c>
      <c r="J41" s="301">
        <f>+G41-H41-I41-L41-L42-L43</f>
        <v>0</v>
      </c>
      <c r="K41" s="244"/>
      <c r="L41" s="233"/>
      <c r="M41" s="43"/>
    </row>
    <row r="42" spans="1:13" ht="14.25" customHeight="1" x14ac:dyDescent="0.3">
      <c r="A42" s="279"/>
      <c r="B42" s="323"/>
      <c r="C42" s="326"/>
      <c r="D42" s="280"/>
      <c r="E42" s="281"/>
      <c r="F42" s="320"/>
      <c r="G42" s="283"/>
      <c r="H42" s="317"/>
      <c r="I42" s="286"/>
      <c r="J42" s="287"/>
      <c r="K42" s="239"/>
      <c r="L42" s="234"/>
      <c r="M42" s="43"/>
    </row>
    <row r="43" spans="1:13" ht="14.25" customHeight="1" thickBot="1" x14ac:dyDescent="0.35">
      <c r="A43" s="289"/>
      <c r="B43" s="324"/>
      <c r="C43" s="327"/>
      <c r="D43" s="291"/>
      <c r="E43" s="293"/>
      <c r="F43" s="321"/>
      <c r="G43" s="284"/>
      <c r="H43" s="318"/>
      <c r="I43" s="300"/>
      <c r="J43" s="302"/>
      <c r="K43" s="240"/>
      <c r="L43" s="236"/>
      <c r="M43" s="43"/>
    </row>
    <row r="44" spans="1:13" ht="14.25" customHeight="1" x14ac:dyDescent="0.3">
      <c r="A44" s="288"/>
      <c r="B44" s="322"/>
      <c r="C44" s="325"/>
      <c r="D44" s="290"/>
      <c r="E44" s="292">
        <f>+'INGRESO DE DATOS'!C30</f>
        <v>0</v>
      </c>
      <c r="F44" s="319">
        <f>+'INGRESO DE DATOS'!D30</f>
        <v>0</v>
      </c>
      <c r="G44" s="296">
        <f>IF('INGRESO DE DATOS'!F30&gt;=2,'INGRESO DE DATOS'!E30*'INGRESO DE DATOS'!F30,IF('INGRESO DE DATOS'!F30&lt;2,'INGRESO DE DATOS'!E30,0))+L44+L45+L46</f>
        <v>0</v>
      </c>
      <c r="H44" s="316">
        <f>IF('INGRESO DE DATOS'!F30&gt;=2,'INGRESO DE DATOS'!F30*10000,IF('INGRESO DE DATOS'!E30&lt;10000,'INGRESO DE DATOS'!E30,IF('INGRESO DE DATOS'!E30&gt;=10000,10000,0)))</f>
        <v>0</v>
      </c>
      <c r="I44" s="299">
        <f>IF('INGRESO DE DATOS'!F30&gt;=2,'INGRESO DE DATOS'!F30*3000,IF('INGRESO DE DATOS'!E30&gt;12000,3000,IF('INGRESO DE DATOS'!E30=12000,2000,IF('INGRESO DE DATOS'!E30&lt;12000,0))))</f>
        <v>0</v>
      </c>
      <c r="J44" s="301">
        <f>+G44-H44-I44-L44-L45-L46</f>
        <v>0</v>
      </c>
      <c r="K44" s="238"/>
      <c r="L44" s="233"/>
      <c r="M44" s="43"/>
    </row>
    <row r="45" spans="1:13" ht="14.25" customHeight="1" x14ac:dyDescent="0.3">
      <c r="A45" s="279"/>
      <c r="B45" s="323"/>
      <c r="C45" s="326"/>
      <c r="D45" s="280"/>
      <c r="E45" s="281"/>
      <c r="F45" s="320"/>
      <c r="G45" s="283"/>
      <c r="H45" s="317"/>
      <c r="I45" s="286"/>
      <c r="J45" s="287"/>
      <c r="K45" s="239"/>
      <c r="L45" s="234"/>
      <c r="M45" s="43"/>
    </row>
    <row r="46" spans="1:13" ht="14.25" customHeight="1" thickBot="1" x14ac:dyDescent="0.35">
      <c r="A46" s="289"/>
      <c r="B46" s="324"/>
      <c r="C46" s="327"/>
      <c r="D46" s="291"/>
      <c r="E46" s="293"/>
      <c r="F46" s="321"/>
      <c r="G46" s="284"/>
      <c r="H46" s="318"/>
      <c r="I46" s="300"/>
      <c r="J46" s="302"/>
      <c r="K46" s="240"/>
      <c r="L46" s="236"/>
      <c r="M46" s="43"/>
    </row>
    <row r="47" spans="1:13" ht="14.25" customHeight="1" x14ac:dyDescent="0.3">
      <c r="A47" s="288"/>
      <c r="B47" s="322"/>
      <c r="C47" s="325"/>
      <c r="D47" s="290"/>
      <c r="E47" s="292">
        <f>+'INGRESO DE DATOS'!C31</f>
        <v>0</v>
      </c>
      <c r="F47" s="319">
        <f>+'INGRESO DE DATOS'!D31</f>
        <v>0</v>
      </c>
      <c r="G47" s="296">
        <f>IF('INGRESO DE DATOS'!F31&gt;=2,'INGRESO DE DATOS'!E31*'INGRESO DE DATOS'!F31,IF('INGRESO DE DATOS'!F31&lt;2,'INGRESO DE DATOS'!E31,0))+L47+L48+L49</f>
        <v>0</v>
      </c>
      <c r="H47" s="316">
        <f>IF('INGRESO DE DATOS'!F31&gt;=2,'INGRESO DE DATOS'!F31*10000,IF('INGRESO DE DATOS'!E31&lt;10000,'INGRESO DE DATOS'!E31,IF('INGRESO DE DATOS'!E31&gt;=10000,10000,0)))</f>
        <v>0</v>
      </c>
      <c r="I47" s="299">
        <f>IF('INGRESO DE DATOS'!F31&gt;=2,'INGRESO DE DATOS'!F31*3000,IF('INGRESO DE DATOS'!E31&gt;12000,3000,IF('INGRESO DE DATOS'!E31=12000,2000,IF('INGRESO DE DATOS'!E31&lt;12000,0))))</f>
        <v>0</v>
      </c>
      <c r="J47" s="301">
        <f>+G47-H47-I47-L47-L48-L49</f>
        <v>0</v>
      </c>
      <c r="K47" s="238"/>
      <c r="L47" s="233"/>
      <c r="M47" s="43"/>
    </row>
    <row r="48" spans="1:13" ht="14.25" customHeight="1" x14ac:dyDescent="0.3">
      <c r="A48" s="279"/>
      <c r="B48" s="323"/>
      <c r="C48" s="326"/>
      <c r="D48" s="280"/>
      <c r="E48" s="281"/>
      <c r="F48" s="320"/>
      <c r="G48" s="283"/>
      <c r="H48" s="317"/>
      <c r="I48" s="286"/>
      <c r="J48" s="287"/>
      <c r="K48" s="239"/>
      <c r="L48" s="234"/>
      <c r="M48" s="43"/>
    </row>
    <row r="49" spans="1:13" ht="14.25" customHeight="1" thickBot="1" x14ac:dyDescent="0.35">
      <c r="A49" s="289"/>
      <c r="B49" s="324"/>
      <c r="C49" s="327"/>
      <c r="D49" s="291"/>
      <c r="E49" s="293"/>
      <c r="F49" s="321"/>
      <c r="G49" s="284"/>
      <c r="H49" s="318"/>
      <c r="I49" s="300"/>
      <c r="J49" s="302"/>
      <c r="K49" s="240"/>
      <c r="L49" s="236"/>
      <c r="M49" s="43"/>
    </row>
    <row r="50" spans="1:13" ht="14.25" customHeight="1" x14ac:dyDescent="0.3">
      <c r="A50" s="279"/>
      <c r="B50" s="323"/>
      <c r="C50" s="326"/>
      <c r="D50" s="280"/>
      <c r="E50" s="281">
        <f>+'INGRESO DE DATOS'!C32</f>
        <v>0</v>
      </c>
      <c r="F50" s="320">
        <f>+'INGRESO DE DATOS'!D32</f>
        <v>0</v>
      </c>
      <c r="G50" s="283">
        <f>IF('INGRESO DE DATOS'!F32&gt;=2,'INGRESO DE DATOS'!E32*'INGRESO DE DATOS'!F32,IF('INGRESO DE DATOS'!F32&lt;2,'INGRESO DE DATOS'!E32,0))+L50+L51+L52</f>
        <v>0</v>
      </c>
      <c r="H50" s="317">
        <f>IF('INGRESO DE DATOS'!F32&gt;=2,'INGRESO DE DATOS'!F32*10000,IF('INGRESO DE DATOS'!E32&lt;10000,'INGRESO DE DATOS'!E32,IF('INGRESO DE DATOS'!E32&gt;=10000,10000,0)))</f>
        <v>0</v>
      </c>
      <c r="I50" s="286">
        <f>IF('INGRESO DE DATOS'!F32&gt;=2,'INGRESO DE DATOS'!F32*3000,IF('INGRESO DE DATOS'!E32&gt;12000,3000,IF('INGRESO DE DATOS'!E32=12000,2000,IF('INGRESO DE DATOS'!E32&lt;12000,0))))</f>
        <v>0</v>
      </c>
      <c r="J50" s="287">
        <f>+G50-H50-I50-L50-L51-L52</f>
        <v>0</v>
      </c>
      <c r="K50" s="243"/>
      <c r="L50" s="235"/>
      <c r="M50" s="43"/>
    </row>
    <row r="51" spans="1:13" ht="14.25" customHeight="1" x14ac:dyDescent="0.3">
      <c r="A51" s="279"/>
      <c r="B51" s="323"/>
      <c r="C51" s="326"/>
      <c r="D51" s="280"/>
      <c r="E51" s="281"/>
      <c r="F51" s="320"/>
      <c r="G51" s="283"/>
      <c r="H51" s="317"/>
      <c r="I51" s="286"/>
      <c r="J51" s="287"/>
      <c r="K51" s="239"/>
      <c r="L51" s="234"/>
      <c r="M51" s="43"/>
    </row>
    <row r="52" spans="1:13" ht="14.25" customHeight="1" thickBot="1" x14ac:dyDescent="0.35">
      <c r="A52" s="279"/>
      <c r="B52" s="323"/>
      <c r="C52" s="326"/>
      <c r="D52" s="280"/>
      <c r="E52" s="281"/>
      <c r="F52" s="320"/>
      <c r="G52" s="283"/>
      <c r="H52" s="317"/>
      <c r="I52" s="286"/>
      <c r="J52" s="287"/>
      <c r="K52" s="241"/>
      <c r="L52" s="242"/>
      <c r="M52" s="43"/>
    </row>
    <row r="53" spans="1:13" ht="14.25" customHeight="1" x14ac:dyDescent="0.3">
      <c r="A53" s="288"/>
      <c r="B53" s="322"/>
      <c r="C53" s="325"/>
      <c r="D53" s="290"/>
      <c r="E53" s="292">
        <f>+'INGRESO DE DATOS'!C33</f>
        <v>0</v>
      </c>
      <c r="F53" s="319">
        <f>+'INGRESO DE DATOS'!D33</f>
        <v>0</v>
      </c>
      <c r="G53" s="296">
        <f>IF('INGRESO DE DATOS'!F33&gt;=2,'INGRESO DE DATOS'!E33*'INGRESO DE DATOS'!F33,IF('INGRESO DE DATOS'!F33&lt;2,'INGRESO DE DATOS'!E33,0))+L53+L54+L55</f>
        <v>0</v>
      </c>
      <c r="H53" s="316">
        <f>IF('INGRESO DE DATOS'!F33&gt;=2,'INGRESO DE DATOS'!F33*10000,IF('INGRESO DE DATOS'!E33&lt;10000,'INGRESO DE DATOS'!E33,IF('INGRESO DE DATOS'!E33&gt;=10000,10000,0)))</f>
        <v>0</v>
      </c>
      <c r="I53" s="299">
        <f>IF('INGRESO DE DATOS'!F33&gt;=2,'INGRESO DE DATOS'!F33*3000,IF('INGRESO DE DATOS'!E33&gt;12000,3000,IF('INGRESO DE DATOS'!E33=12000,2000,IF('INGRESO DE DATOS'!E33&lt;12000,0))))</f>
        <v>0</v>
      </c>
      <c r="J53" s="301">
        <f>+G53-H53-I53-L53-L54-L55</f>
        <v>0</v>
      </c>
      <c r="K53" s="238"/>
      <c r="L53" s="233"/>
      <c r="M53" s="43"/>
    </row>
    <row r="54" spans="1:13" ht="14.25" customHeight="1" x14ac:dyDescent="0.3">
      <c r="A54" s="279"/>
      <c r="B54" s="323"/>
      <c r="C54" s="326"/>
      <c r="D54" s="280"/>
      <c r="E54" s="281"/>
      <c r="F54" s="320"/>
      <c r="G54" s="283"/>
      <c r="H54" s="317"/>
      <c r="I54" s="286"/>
      <c r="J54" s="287"/>
      <c r="K54" s="239"/>
      <c r="L54" s="234"/>
      <c r="M54" s="43"/>
    </row>
    <row r="55" spans="1:13" ht="14.25" customHeight="1" thickBot="1" x14ac:dyDescent="0.35">
      <c r="A55" s="289"/>
      <c r="B55" s="324"/>
      <c r="C55" s="327"/>
      <c r="D55" s="291"/>
      <c r="E55" s="293"/>
      <c r="F55" s="321"/>
      <c r="G55" s="284"/>
      <c r="H55" s="318"/>
      <c r="I55" s="300"/>
      <c r="J55" s="302"/>
      <c r="K55" s="240"/>
      <c r="L55" s="236"/>
      <c r="M55" s="43"/>
    </row>
    <row r="56" spans="1:13" ht="14.25" customHeight="1" x14ac:dyDescent="0.3">
      <c r="A56" s="279"/>
      <c r="B56" s="323"/>
      <c r="C56" s="326"/>
      <c r="D56" s="280"/>
      <c r="E56" s="281">
        <f>+'INGRESO DE DATOS'!C34</f>
        <v>0</v>
      </c>
      <c r="F56" s="320">
        <f>+'INGRESO DE DATOS'!D34</f>
        <v>0</v>
      </c>
      <c r="G56" s="283">
        <f>IF('INGRESO DE DATOS'!F34&gt;=2,'INGRESO DE DATOS'!E34*'INGRESO DE DATOS'!F34,IF('INGRESO DE DATOS'!F34&lt;2,'INGRESO DE DATOS'!E34,0))+L56+L57+L58</f>
        <v>0</v>
      </c>
      <c r="H56" s="317">
        <f>IF('INGRESO DE DATOS'!F34&gt;=2,'INGRESO DE DATOS'!F34*10000,IF('INGRESO DE DATOS'!E34&lt;10000,'INGRESO DE DATOS'!E34,IF('INGRESO DE DATOS'!E34&gt;=10000,10000,0)))</f>
        <v>0</v>
      </c>
      <c r="I56" s="286">
        <f>IF('INGRESO DE DATOS'!F34&gt;=2,'INGRESO DE DATOS'!F34*3000,IF('INGRESO DE DATOS'!E34&gt;12000,3000,IF('INGRESO DE DATOS'!E34=12000,2000,IF('INGRESO DE DATOS'!E34&lt;12000,0))))</f>
        <v>0</v>
      </c>
      <c r="J56" s="287">
        <f>+G56-H56-I56-L56-L57-L58</f>
        <v>0</v>
      </c>
      <c r="K56" s="243"/>
      <c r="L56" s="235"/>
      <c r="M56" s="43"/>
    </row>
    <row r="57" spans="1:13" ht="14.25" customHeight="1" x14ac:dyDescent="0.3">
      <c r="A57" s="279"/>
      <c r="B57" s="323"/>
      <c r="C57" s="326"/>
      <c r="D57" s="280"/>
      <c r="E57" s="281"/>
      <c r="F57" s="320"/>
      <c r="G57" s="283"/>
      <c r="H57" s="317"/>
      <c r="I57" s="286"/>
      <c r="J57" s="287"/>
      <c r="K57" s="239"/>
      <c r="L57" s="234"/>
      <c r="M57" s="43"/>
    </row>
    <row r="58" spans="1:13" ht="14.25" customHeight="1" thickBot="1" x14ac:dyDescent="0.35">
      <c r="A58" s="279"/>
      <c r="B58" s="323"/>
      <c r="C58" s="326"/>
      <c r="D58" s="280"/>
      <c r="E58" s="281"/>
      <c r="F58" s="320"/>
      <c r="G58" s="283"/>
      <c r="H58" s="317"/>
      <c r="I58" s="286"/>
      <c r="J58" s="287"/>
      <c r="K58" s="241"/>
      <c r="L58" s="242"/>
      <c r="M58" s="43"/>
    </row>
    <row r="59" spans="1:13" ht="14.25" customHeight="1" x14ac:dyDescent="0.3">
      <c r="A59" s="288"/>
      <c r="B59" s="322"/>
      <c r="C59" s="325"/>
      <c r="D59" s="290"/>
      <c r="E59" s="292">
        <f>+'INGRESO DE DATOS'!C35</f>
        <v>0</v>
      </c>
      <c r="F59" s="319">
        <f>+'INGRESO DE DATOS'!D35</f>
        <v>0</v>
      </c>
      <c r="G59" s="296">
        <f>IF('INGRESO DE DATOS'!F35&gt;=2,'INGRESO DE DATOS'!E35*'INGRESO DE DATOS'!F35,IF('INGRESO DE DATOS'!F35&lt;2,'INGRESO DE DATOS'!E35,0))+L59+L60+L61</f>
        <v>0</v>
      </c>
      <c r="H59" s="316">
        <f>IF('INGRESO DE DATOS'!F35&gt;=2,'INGRESO DE DATOS'!F35*10000,IF('INGRESO DE DATOS'!E35&lt;10000,'INGRESO DE DATOS'!E35,IF('INGRESO DE DATOS'!E35&gt;=10000,10000,0)))</f>
        <v>0</v>
      </c>
      <c r="I59" s="299">
        <f>IF('INGRESO DE DATOS'!F35&gt;=2,'INGRESO DE DATOS'!F35*3000,IF('INGRESO DE DATOS'!E35&gt;12000,3000,IF('INGRESO DE DATOS'!E35=12000,2000,IF('INGRESO DE DATOS'!E35&lt;12000,0))))</f>
        <v>0</v>
      </c>
      <c r="J59" s="301">
        <f t="shared" ref="J59" si="0">+G59-H59-I59-L59-L60-L61</f>
        <v>0</v>
      </c>
      <c r="K59" s="238"/>
      <c r="L59" s="233"/>
      <c r="M59" s="43"/>
    </row>
    <row r="60" spans="1:13" ht="14.25" customHeight="1" x14ac:dyDescent="0.3">
      <c r="A60" s="279"/>
      <c r="B60" s="323"/>
      <c r="C60" s="326"/>
      <c r="D60" s="280"/>
      <c r="E60" s="281"/>
      <c r="F60" s="320"/>
      <c r="G60" s="283"/>
      <c r="H60" s="317"/>
      <c r="I60" s="286"/>
      <c r="J60" s="287"/>
      <c r="K60" s="239"/>
      <c r="L60" s="234"/>
      <c r="M60" s="43"/>
    </row>
    <row r="61" spans="1:13" ht="14.25" customHeight="1" thickBot="1" x14ac:dyDescent="0.35">
      <c r="A61" s="289"/>
      <c r="B61" s="324"/>
      <c r="C61" s="327"/>
      <c r="D61" s="291"/>
      <c r="E61" s="293"/>
      <c r="F61" s="321"/>
      <c r="G61" s="284"/>
      <c r="H61" s="318"/>
      <c r="I61" s="300"/>
      <c r="J61" s="302"/>
      <c r="K61" s="240"/>
      <c r="L61" s="236"/>
      <c r="M61" s="43"/>
    </row>
    <row r="62" spans="1:13" ht="14.25" customHeight="1" x14ac:dyDescent="0.3">
      <c r="A62" s="279"/>
      <c r="B62" s="323"/>
      <c r="C62" s="326"/>
      <c r="D62" s="280"/>
      <c r="E62" s="281">
        <f>+'INGRESO DE DATOS'!C36</f>
        <v>0</v>
      </c>
      <c r="F62" s="320">
        <f>+'INGRESO DE DATOS'!D36</f>
        <v>0</v>
      </c>
      <c r="G62" s="283">
        <f>IF('INGRESO DE DATOS'!F36&gt;=2,'INGRESO DE DATOS'!E36*'INGRESO DE DATOS'!F36,IF('INGRESO DE DATOS'!F36&lt;2,'INGRESO DE DATOS'!E36,0))+L62+L63+L64</f>
        <v>0</v>
      </c>
      <c r="H62" s="317">
        <f>IF('INGRESO DE DATOS'!F36&gt;=2,'INGRESO DE DATOS'!F36*10000,IF('INGRESO DE DATOS'!E36&lt;10000,'INGRESO DE DATOS'!E36,IF('INGRESO DE DATOS'!E36&gt;=10000,10000,0)))</f>
        <v>0</v>
      </c>
      <c r="I62" s="286">
        <f>IF('INGRESO DE DATOS'!F36&gt;=2,'INGRESO DE DATOS'!F36*3000,IF('INGRESO DE DATOS'!E36&gt;12000,3000,IF('INGRESO DE DATOS'!E36=12000,2000,IF('INGRESO DE DATOS'!E36&lt;12000,0))))</f>
        <v>0</v>
      </c>
      <c r="J62" s="287">
        <f t="shared" ref="J62" si="1">+G62-H62-I62-L62-L63-L64</f>
        <v>0</v>
      </c>
      <c r="K62" s="243"/>
      <c r="L62" s="235"/>
      <c r="M62" s="43"/>
    </row>
    <row r="63" spans="1:13" ht="14.25" customHeight="1" x14ac:dyDescent="0.3">
      <c r="A63" s="279"/>
      <c r="B63" s="323"/>
      <c r="C63" s="326"/>
      <c r="D63" s="280"/>
      <c r="E63" s="281"/>
      <c r="F63" s="320"/>
      <c r="G63" s="283"/>
      <c r="H63" s="317"/>
      <c r="I63" s="286"/>
      <c r="J63" s="287"/>
      <c r="K63" s="239"/>
      <c r="L63" s="234"/>
      <c r="M63" s="43"/>
    </row>
    <row r="64" spans="1:13" ht="14.25" customHeight="1" thickBot="1" x14ac:dyDescent="0.35">
      <c r="A64" s="279"/>
      <c r="B64" s="323"/>
      <c r="C64" s="326"/>
      <c r="D64" s="280"/>
      <c r="E64" s="281"/>
      <c r="F64" s="320"/>
      <c r="G64" s="283"/>
      <c r="H64" s="317"/>
      <c r="I64" s="286"/>
      <c r="J64" s="287"/>
      <c r="K64" s="241"/>
      <c r="L64" s="242"/>
      <c r="M64" s="43"/>
    </row>
    <row r="65" spans="1:13" ht="14.25" customHeight="1" x14ac:dyDescent="0.3">
      <c r="A65" s="288"/>
      <c r="B65" s="361" t="str">
        <f>IF(G65&gt;1,'INGRESO DE DATOS'!$I$9," ")</f>
        <v xml:space="preserve"> </v>
      </c>
      <c r="C65" s="325"/>
      <c r="D65" s="290"/>
      <c r="E65" s="292">
        <f>+'INGRESO DE DATOS'!C37</f>
        <v>0</v>
      </c>
      <c r="F65" s="319">
        <f>+'INGRESO DE DATOS'!D37</f>
        <v>0</v>
      </c>
      <c r="G65" s="296">
        <f>IF('INGRESO DE DATOS'!F37&gt;=2,'INGRESO DE DATOS'!E37*'INGRESO DE DATOS'!F37,IF('INGRESO DE DATOS'!F37&lt;2,'INGRESO DE DATOS'!E37,0))+L65+L66+L67</f>
        <v>0</v>
      </c>
      <c r="H65" s="316">
        <f>IF('INGRESO DE DATOS'!F37&gt;=2,'INGRESO DE DATOS'!F37*10000,IF('INGRESO DE DATOS'!E37&lt;10000,'INGRESO DE DATOS'!E37,IF('INGRESO DE DATOS'!E37&gt;=10000,10000,0)))</f>
        <v>0</v>
      </c>
      <c r="I65" s="299">
        <f>IF('INGRESO DE DATOS'!F37&gt;=2,'INGRESO DE DATOS'!F37*3000,IF('INGRESO DE DATOS'!E37&gt;12000,3000,IF('INGRESO DE DATOS'!E37=12000,2000,IF('INGRESO DE DATOS'!E37&lt;12000,0))))</f>
        <v>0</v>
      </c>
      <c r="J65" s="301">
        <f t="shared" ref="J65" si="2">+G65-H65-I65-L65-L66-L67</f>
        <v>0</v>
      </c>
      <c r="K65" s="238"/>
      <c r="L65" s="233"/>
      <c r="M65" s="43"/>
    </row>
    <row r="66" spans="1:13" ht="14.25" customHeight="1" x14ac:dyDescent="0.3">
      <c r="A66" s="279"/>
      <c r="B66" s="362"/>
      <c r="C66" s="326"/>
      <c r="D66" s="280"/>
      <c r="E66" s="281"/>
      <c r="F66" s="320"/>
      <c r="G66" s="283"/>
      <c r="H66" s="317"/>
      <c r="I66" s="286"/>
      <c r="J66" s="287"/>
      <c r="K66" s="239"/>
      <c r="L66" s="234"/>
      <c r="M66" s="43"/>
    </row>
    <row r="67" spans="1:13" ht="14.25" customHeight="1" thickBot="1" x14ac:dyDescent="0.35">
      <c r="A67" s="289"/>
      <c r="B67" s="363"/>
      <c r="C67" s="327"/>
      <c r="D67" s="291"/>
      <c r="E67" s="293"/>
      <c r="F67" s="321"/>
      <c r="G67" s="284"/>
      <c r="H67" s="318"/>
      <c r="I67" s="300"/>
      <c r="J67" s="302"/>
      <c r="K67" s="240"/>
      <c r="L67" s="236"/>
      <c r="M67" s="43"/>
    </row>
    <row r="68" spans="1:13" ht="14.25" customHeight="1" x14ac:dyDescent="0.3">
      <c r="A68" s="279"/>
      <c r="B68" s="137" t="str">
        <f>IF(G68&gt;1,'INGRESO DE DATOS'!$I$9," ")</f>
        <v xml:space="preserve"> </v>
      </c>
      <c r="C68" s="226"/>
      <c r="D68" s="280"/>
      <c r="E68" s="281">
        <f>'INGRESO DE DATOS'!C38</f>
        <v>0</v>
      </c>
      <c r="F68" s="320">
        <f>+'INGRESO DE DATOS'!D38</f>
        <v>0</v>
      </c>
      <c r="G68" s="283">
        <f>IF('INGRESO DE DATOS'!F38&gt;=2,'INGRESO DE DATOS'!E38*'INGRESO DE DATOS'!F38,IF('INGRESO DE DATOS'!F38&lt;2,'INGRESO DE DATOS'!E38,0))+L68+L69+L70</f>
        <v>0</v>
      </c>
      <c r="H68" s="317">
        <f>IF('INGRESO DE DATOS'!F38&gt;=2,'INGRESO DE DATOS'!F38*10000,IF('INGRESO DE DATOS'!E38&lt;10000,'INGRESO DE DATOS'!E38,IF('INGRESO DE DATOS'!E38&gt;=10000,10000,0)))</f>
        <v>0</v>
      </c>
      <c r="I68" s="286">
        <f>IF('INGRESO DE DATOS'!F38&gt;=2,'INGRESO DE DATOS'!F38*3000,IF('INGRESO DE DATOS'!E38&gt;12000,3000,IF('INGRESO DE DATOS'!E38=12000,2000,IF('INGRESO DE DATOS'!E38&lt;12000,0))))</f>
        <v>0</v>
      </c>
      <c r="J68" s="287">
        <f t="shared" ref="J68" si="3">+G68-H68-I68-L68-L69-L70</f>
        <v>0</v>
      </c>
      <c r="K68" s="243"/>
      <c r="L68" s="235"/>
      <c r="M68" s="43"/>
    </row>
    <row r="69" spans="1:13" ht="14.25" customHeight="1" x14ac:dyDescent="0.3">
      <c r="A69" s="279"/>
      <c r="B69" s="137"/>
      <c r="C69" s="226"/>
      <c r="D69" s="280"/>
      <c r="E69" s="281"/>
      <c r="F69" s="320"/>
      <c r="G69" s="283"/>
      <c r="H69" s="317"/>
      <c r="I69" s="286"/>
      <c r="J69" s="287"/>
      <c r="K69" s="239"/>
      <c r="L69" s="234"/>
      <c r="M69" s="43"/>
    </row>
    <row r="70" spans="1:13" ht="14.25" customHeight="1" thickBot="1" x14ac:dyDescent="0.35">
      <c r="A70" s="279"/>
      <c r="B70" s="137"/>
      <c r="C70" s="226"/>
      <c r="D70" s="280"/>
      <c r="E70" s="281"/>
      <c r="F70" s="320"/>
      <c r="G70" s="283"/>
      <c r="H70" s="317"/>
      <c r="I70" s="286"/>
      <c r="J70" s="287"/>
      <c r="K70" s="241"/>
      <c r="L70" s="242"/>
      <c r="M70" s="43"/>
    </row>
    <row r="71" spans="1:13" ht="14.25" customHeight="1" x14ac:dyDescent="0.3">
      <c r="A71" s="288"/>
      <c r="B71" s="227" t="str">
        <f>IF(G71&gt;1,'INGRESO DE DATOS'!$I$9," ")</f>
        <v xml:space="preserve"> </v>
      </c>
      <c r="C71" s="228"/>
      <c r="D71" s="290"/>
      <c r="E71" s="292">
        <f>+'INGRESO DE DATOS'!C39</f>
        <v>0</v>
      </c>
      <c r="F71" s="319">
        <f>+'INGRESO DE DATOS'!D39</f>
        <v>0</v>
      </c>
      <c r="G71" s="296">
        <f>IF('INGRESO DE DATOS'!F39&gt;=2,'INGRESO DE DATOS'!E39*'INGRESO DE DATOS'!F39,IF('INGRESO DE DATOS'!F39&lt;2,'INGRESO DE DATOS'!E39,0))+L71+L72+L73</f>
        <v>0</v>
      </c>
      <c r="H71" s="316">
        <f>IF('INGRESO DE DATOS'!F39&gt;=2,'INGRESO DE DATOS'!F39*10000,IF('INGRESO DE DATOS'!E39&lt;10000,'INGRESO DE DATOS'!E39,IF('INGRESO DE DATOS'!E39&gt;=10000,10000,0)))</f>
        <v>0</v>
      </c>
      <c r="I71" s="299">
        <f>IF('INGRESO DE DATOS'!F39&gt;=2,'INGRESO DE DATOS'!F39*3000,IF('INGRESO DE DATOS'!E39&gt;12000,3000,IF('INGRESO DE DATOS'!E39=12000,2000,IF('INGRESO DE DATOS'!E39&lt;12000,0))))</f>
        <v>0</v>
      </c>
      <c r="J71" s="301">
        <f t="shared" ref="J71" si="4">+G71-H71-I71-L71-L72-L73</f>
        <v>0</v>
      </c>
      <c r="K71" s="238"/>
      <c r="L71" s="233"/>
      <c r="M71" s="43"/>
    </row>
    <row r="72" spans="1:13" ht="14.25" customHeight="1" x14ac:dyDescent="0.3">
      <c r="A72" s="279"/>
      <c r="B72" s="137"/>
      <c r="C72" s="226"/>
      <c r="D72" s="280"/>
      <c r="E72" s="281"/>
      <c r="F72" s="320"/>
      <c r="G72" s="283"/>
      <c r="H72" s="317"/>
      <c r="I72" s="286"/>
      <c r="J72" s="287"/>
      <c r="K72" s="239"/>
      <c r="L72" s="234"/>
      <c r="M72" s="43"/>
    </row>
    <row r="73" spans="1:13" ht="14.25" customHeight="1" thickBot="1" x14ac:dyDescent="0.35">
      <c r="A73" s="289"/>
      <c r="B73" s="138"/>
      <c r="C73" s="139"/>
      <c r="D73" s="291"/>
      <c r="E73" s="293"/>
      <c r="F73" s="321"/>
      <c r="G73" s="284"/>
      <c r="H73" s="318"/>
      <c r="I73" s="300"/>
      <c r="J73" s="302"/>
      <c r="K73" s="240"/>
      <c r="L73" s="236"/>
      <c r="M73" s="43"/>
    </row>
    <row r="74" spans="1:13" ht="14.25" customHeight="1" x14ac:dyDescent="0.3">
      <c r="A74" s="279"/>
      <c r="B74" s="137" t="str">
        <f>IF(G74&gt;1,'INGRESO DE DATOS'!$I$9," ")</f>
        <v xml:space="preserve"> </v>
      </c>
      <c r="C74" s="226"/>
      <c r="D74" s="280"/>
      <c r="E74" s="281">
        <f>+'INGRESO DE DATOS'!C40</f>
        <v>0</v>
      </c>
      <c r="F74" s="320">
        <f>+'INGRESO DE DATOS'!D40</f>
        <v>0</v>
      </c>
      <c r="G74" s="283">
        <f>IF('INGRESO DE DATOS'!F40&gt;=2,'INGRESO DE DATOS'!E40*'INGRESO DE DATOS'!F40,IF('INGRESO DE DATOS'!F40&lt;2,'INGRESO DE DATOS'!E40,0))+L74+L75+L76</f>
        <v>0</v>
      </c>
      <c r="H74" s="317">
        <f>IF('INGRESO DE DATOS'!F40&gt;=2,'INGRESO DE DATOS'!F40*10000,IF('INGRESO DE DATOS'!E40&lt;10000,'INGRESO DE DATOS'!E40,IF('INGRESO DE DATOS'!E40&gt;=10000,10000,0)))</f>
        <v>0</v>
      </c>
      <c r="I74" s="286">
        <f>IF('INGRESO DE DATOS'!F40&gt;=2,'INGRESO DE DATOS'!F40*3000,IF('INGRESO DE DATOS'!E40&gt;12000,3000,IF('INGRESO DE DATOS'!E40=12000,2000,IF('INGRESO DE DATOS'!E40&lt;12000,0))))</f>
        <v>0</v>
      </c>
      <c r="J74" s="287">
        <f t="shared" ref="J74" si="5">+G74-H74-I74-L74-L75-L76</f>
        <v>0</v>
      </c>
      <c r="K74" s="243"/>
      <c r="L74" s="235"/>
      <c r="M74" s="43"/>
    </row>
    <row r="75" spans="1:13" ht="14.25" customHeight="1" x14ac:dyDescent="0.3">
      <c r="A75" s="279"/>
      <c r="B75" s="137"/>
      <c r="C75" s="226"/>
      <c r="D75" s="280"/>
      <c r="E75" s="281"/>
      <c r="F75" s="320"/>
      <c r="G75" s="283"/>
      <c r="H75" s="317"/>
      <c r="I75" s="286"/>
      <c r="J75" s="287"/>
      <c r="K75" s="239"/>
      <c r="L75" s="234"/>
      <c r="M75" s="43"/>
    </row>
    <row r="76" spans="1:13" ht="14.25" customHeight="1" thickBot="1" x14ac:dyDescent="0.35">
      <c r="A76" s="279"/>
      <c r="B76" s="137"/>
      <c r="C76" s="226"/>
      <c r="D76" s="280"/>
      <c r="E76" s="281"/>
      <c r="F76" s="320"/>
      <c r="G76" s="283"/>
      <c r="H76" s="317"/>
      <c r="I76" s="286"/>
      <c r="J76" s="287"/>
      <c r="K76" s="241"/>
      <c r="L76" s="242"/>
      <c r="M76" s="43"/>
    </row>
    <row r="77" spans="1:13" ht="14.25" customHeight="1" x14ac:dyDescent="0.3">
      <c r="A77" s="288"/>
      <c r="B77" s="227" t="str">
        <f>IF(G77&gt;1,'INGRESO DE DATOS'!$I$9," ")</f>
        <v xml:space="preserve"> </v>
      </c>
      <c r="C77" s="228"/>
      <c r="D77" s="290"/>
      <c r="E77" s="292">
        <f>+'INGRESO DE DATOS'!C41</f>
        <v>0</v>
      </c>
      <c r="F77" s="319">
        <f>+'INGRESO DE DATOS'!D41</f>
        <v>0</v>
      </c>
      <c r="G77" s="296">
        <f>IF('INGRESO DE DATOS'!F41&gt;=2,'INGRESO DE DATOS'!E41*'INGRESO DE DATOS'!F41,IF('INGRESO DE DATOS'!F41&lt;2,'INGRESO DE DATOS'!E41,0))+L77+L78+L79</f>
        <v>0</v>
      </c>
      <c r="H77" s="316">
        <f>IF('INGRESO DE DATOS'!F41&gt;=2,'INGRESO DE DATOS'!F41*10000,IF('INGRESO DE DATOS'!E41&lt;10000,'INGRESO DE DATOS'!E41,IF('INGRESO DE DATOS'!E41&gt;=10000,10000,0)))</f>
        <v>0</v>
      </c>
      <c r="I77" s="299">
        <f>IF('INGRESO DE DATOS'!F41&gt;=2,'INGRESO DE DATOS'!F41*3000,IF('INGRESO DE DATOS'!E41&gt;12000,3000,IF('INGRESO DE DATOS'!E41=12000,2000,IF('INGRESO DE DATOS'!E41&lt;12000,0))))</f>
        <v>0</v>
      </c>
      <c r="J77" s="301">
        <f>+G77-H77-I77-L77-L78-L79</f>
        <v>0</v>
      </c>
      <c r="K77" s="238"/>
      <c r="L77" s="233"/>
      <c r="M77" s="43"/>
    </row>
    <row r="78" spans="1:13" ht="14.25" customHeight="1" x14ac:dyDescent="0.3">
      <c r="A78" s="279"/>
      <c r="B78" s="137"/>
      <c r="C78" s="226"/>
      <c r="D78" s="280"/>
      <c r="E78" s="281"/>
      <c r="F78" s="320"/>
      <c r="G78" s="283"/>
      <c r="H78" s="317"/>
      <c r="I78" s="286"/>
      <c r="J78" s="287"/>
      <c r="K78" s="239"/>
      <c r="L78" s="234"/>
      <c r="M78" s="43"/>
    </row>
    <row r="79" spans="1:13" ht="14.25" customHeight="1" thickBot="1" x14ac:dyDescent="0.35">
      <c r="A79" s="289"/>
      <c r="B79" s="138"/>
      <c r="C79" s="139"/>
      <c r="D79" s="291"/>
      <c r="E79" s="293"/>
      <c r="F79" s="321"/>
      <c r="G79" s="284"/>
      <c r="H79" s="318"/>
      <c r="I79" s="300"/>
      <c r="J79" s="302"/>
      <c r="K79" s="240"/>
      <c r="L79" s="236"/>
      <c r="M79" s="43"/>
    </row>
    <row r="80" spans="1:13" ht="14.25" customHeight="1" x14ac:dyDescent="0.3">
      <c r="A80" s="279"/>
      <c r="B80" s="137" t="str">
        <f>IF(G80&gt;1,'INGRESO DE DATOS'!$I$9," ")</f>
        <v xml:space="preserve"> </v>
      </c>
      <c r="C80" s="226"/>
      <c r="D80" s="280"/>
      <c r="E80" s="281">
        <f>+'INGRESO DE DATOS'!C42</f>
        <v>0</v>
      </c>
      <c r="F80" s="320">
        <f>+'INGRESO DE DATOS'!D42</f>
        <v>0</v>
      </c>
      <c r="G80" s="283">
        <f>IF('INGRESO DE DATOS'!F42&gt;=2,'INGRESO DE DATOS'!E42*'INGRESO DE DATOS'!F42,IF('INGRESO DE DATOS'!F42&lt;2,'INGRESO DE DATOS'!E42,0))+L80+L81+L82</f>
        <v>0</v>
      </c>
      <c r="H80" s="317">
        <f>IF('INGRESO DE DATOS'!F42&gt;=2,'INGRESO DE DATOS'!F42*10000,IF('INGRESO DE DATOS'!E42&lt;10000,'INGRESO DE DATOS'!E42,IF('INGRESO DE DATOS'!E42&gt;=10000,10000,0)))</f>
        <v>0</v>
      </c>
      <c r="I80" s="286">
        <f>IF('INGRESO DE DATOS'!F42&gt;=2,'INGRESO DE DATOS'!F42*3000,IF('INGRESO DE DATOS'!E42&gt;12000,3000,IF('INGRESO DE DATOS'!E42=12000,2000,IF('INGRESO DE DATOS'!E42&lt;12000,0))))</f>
        <v>0</v>
      </c>
      <c r="J80" s="287">
        <f t="shared" ref="J80" si="6">+G80-H80-I80-L80-L81-L82</f>
        <v>0</v>
      </c>
      <c r="K80" s="243"/>
      <c r="L80" s="235"/>
      <c r="M80" s="43"/>
    </row>
    <row r="81" spans="1:13" ht="14.25" customHeight="1" x14ac:dyDescent="0.3">
      <c r="A81" s="279"/>
      <c r="B81" s="137"/>
      <c r="C81" s="226"/>
      <c r="D81" s="280"/>
      <c r="E81" s="281"/>
      <c r="F81" s="320"/>
      <c r="G81" s="283"/>
      <c r="H81" s="317"/>
      <c r="I81" s="286"/>
      <c r="J81" s="287"/>
      <c r="K81" s="239"/>
      <c r="L81" s="234"/>
      <c r="M81" s="43"/>
    </row>
    <row r="82" spans="1:13" ht="14.25" customHeight="1" thickBot="1" x14ac:dyDescent="0.35">
      <c r="A82" s="279"/>
      <c r="B82" s="137"/>
      <c r="C82" s="226"/>
      <c r="D82" s="280"/>
      <c r="E82" s="281"/>
      <c r="F82" s="320"/>
      <c r="G82" s="283"/>
      <c r="H82" s="317"/>
      <c r="I82" s="286"/>
      <c r="J82" s="287"/>
      <c r="K82" s="241"/>
      <c r="L82" s="242"/>
      <c r="M82" s="43"/>
    </row>
    <row r="83" spans="1:13" ht="14.25" customHeight="1" x14ac:dyDescent="0.3">
      <c r="A83" s="288"/>
      <c r="B83" s="227" t="str">
        <f>IF(G83&gt;1,'INGRESO DE DATOS'!$I$9," ")</f>
        <v xml:space="preserve"> </v>
      </c>
      <c r="C83" s="228"/>
      <c r="D83" s="290"/>
      <c r="E83" s="292">
        <f>+'INGRESO DE DATOS'!C43</f>
        <v>0</v>
      </c>
      <c r="F83" s="319">
        <f>+'INGRESO DE DATOS'!D43</f>
        <v>0</v>
      </c>
      <c r="G83" s="296">
        <f>IF('INGRESO DE DATOS'!F43&gt;=2,'INGRESO DE DATOS'!E43*'INGRESO DE DATOS'!F43,IF('INGRESO DE DATOS'!F43&lt;2,'INGRESO DE DATOS'!E43,0))+L83+L84+L85</f>
        <v>0</v>
      </c>
      <c r="H83" s="316">
        <f>IF('INGRESO DE DATOS'!F43&gt;=2,'INGRESO DE DATOS'!F43*10000,IF('INGRESO DE DATOS'!E43&lt;10000,'INGRESO DE DATOS'!E43,IF('INGRESO DE DATOS'!E43&gt;=10000,10000,0)))</f>
        <v>0</v>
      </c>
      <c r="I83" s="299">
        <f>IF('INGRESO DE DATOS'!F43&gt;=2,'INGRESO DE DATOS'!F43*3000,IF('INGRESO DE DATOS'!E43&gt;12000,3000,IF('INGRESO DE DATOS'!E43=12000,2000,IF('INGRESO DE DATOS'!E43&lt;12000,0))))</f>
        <v>0</v>
      </c>
      <c r="J83" s="301">
        <f t="shared" ref="J83" si="7">+G83-H83-I83-L83-L84-L85</f>
        <v>0</v>
      </c>
      <c r="K83" s="238"/>
      <c r="L83" s="233"/>
      <c r="M83" s="43"/>
    </row>
    <row r="84" spans="1:13" ht="14.25" customHeight="1" x14ac:dyDescent="0.3">
      <c r="A84" s="279"/>
      <c r="B84" s="137"/>
      <c r="C84" s="226"/>
      <c r="D84" s="280"/>
      <c r="E84" s="281"/>
      <c r="F84" s="320"/>
      <c r="G84" s="283"/>
      <c r="H84" s="317"/>
      <c r="I84" s="286"/>
      <c r="J84" s="287"/>
      <c r="K84" s="239"/>
      <c r="L84" s="234"/>
      <c r="M84" s="43"/>
    </row>
    <row r="85" spans="1:13" ht="14.25" customHeight="1" thickBot="1" x14ac:dyDescent="0.35">
      <c r="A85" s="289"/>
      <c r="B85" s="138"/>
      <c r="C85" s="139"/>
      <c r="D85" s="291"/>
      <c r="E85" s="293"/>
      <c r="F85" s="321"/>
      <c r="G85" s="284"/>
      <c r="H85" s="318"/>
      <c r="I85" s="300"/>
      <c r="J85" s="302"/>
      <c r="K85" s="240"/>
      <c r="L85" s="236"/>
      <c r="M85" s="43"/>
    </row>
    <row r="86" spans="1:13" ht="14.25" customHeight="1" x14ac:dyDescent="0.3">
      <c r="A86" s="279"/>
      <c r="B86" s="137"/>
      <c r="C86" s="226"/>
      <c r="D86" s="280"/>
      <c r="E86" s="281">
        <f>+'INGRESO DE DATOS'!C44</f>
        <v>0</v>
      </c>
      <c r="F86" s="320">
        <f>+'INGRESO DE DATOS'!D44</f>
        <v>0</v>
      </c>
      <c r="G86" s="283">
        <f>IF('INGRESO DE DATOS'!F44&gt;=2,'INGRESO DE DATOS'!E44*'INGRESO DE DATOS'!F44,IF('INGRESO DE DATOS'!F44&lt;2,'INGRESO DE DATOS'!E44,0))+L86+L87+L88</f>
        <v>0</v>
      </c>
      <c r="H86" s="317">
        <f>IF('INGRESO DE DATOS'!F44&gt;=2,'INGRESO DE DATOS'!F44*10000,IF('INGRESO DE DATOS'!E44&lt;10000,'INGRESO DE DATOS'!E44,IF('INGRESO DE DATOS'!E44&gt;=10000,10000,0)))</f>
        <v>0</v>
      </c>
      <c r="I86" s="286">
        <f>IF('INGRESO DE DATOS'!F44&gt;=2,'INGRESO DE DATOS'!F44*3000,IF('INGRESO DE DATOS'!E44&gt;12000,3000,IF('INGRESO DE DATOS'!E44=12000,2000,IF('INGRESO DE DATOS'!E44&lt;12000,0))))</f>
        <v>0</v>
      </c>
      <c r="J86" s="287">
        <f>+G86-H86-I86-L86-L87-L88</f>
        <v>0</v>
      </c>
      <c r="K86" s="243"/>
      <c r="L86" s="235"/>
      <c r="M86" s="43"/>
    </row>
    <row r="87" spans="1:13" ht="14.25" customHeight="1" x14ac:dyDescent="0.3">
      <c r="A87" s="279"/>
      <c r="B87" s="137"/>
      <c r="C87" s="226"/>
      <c r="D87" s="280"/>
      <c r="E87" s="281"/>
      <c r="F87" s="320"/>
      <c r="G87" s="283"/>
      <c r="H87" s="317"/>
      <c r="I87" s="286"/>
      <c r="J87" s="287"/>
      <c r="K87" s="239"/>
      <c r="L87" s="234"/>
      <c r="M87" s="43"/>
    </row>
    <row r="88" spans="1:13" ht="14.25" customHeight="1" thickBot="1" x14ac:dyDescent="0.35">
      <c r="A88" s="279"/>
      <c r="B88" s="137"/>
      <c r="C88" s="226"/>
      <c r="D88" s="280"/>
      <c r="E88" s="281"/>
      <c r="F88" s="320"/>
      <c r="G88" s="283"/>
      <c r="H88" s="317"/>
      <c r="I88" s="286"/>
      <c r="J88" s="287"/>
      <c r="K88" s="241"/>
      <c r="L88" s="242"/>
      <c r="M88" s="43"/>
    </row>
    <row r="89" spans="1:13" ht="14.25" customHeight="1" x14ac:dyDescent="0.3">
      <c r="A89" s="288"/>
      <c r="B89" s="227"/>
      <c r="C89" s="228"/>
      <c r="D89" s="290"/>
      <c r="E89" s="292">
        <f>+'INGRESO DE DATOS'!C45</f>
        <v>0</v>
      </c>
      <c r="F89" s="319">
        <f>+'INGRESO DE DATOS'!D45</f>
        <v>0</v>
      </c>
      <c r="G89" s="296">
        <f>IF('INGRESO DE DATOS'!F45&gt;=2,'INGRESO DE DATOS'!E45*'INGRESO DE DATOS'!F45,IF('INGRESO DE DATOS'!F45&lt;2,'INGRESO DE DATOS'!E45,0))+L89+L90+L91</f>
        <v>0</v>
      </c>
      <c r="H89" s="316">
        <f>IF('INGRESO DE DATOS'!F45&gt;=2,'INGRESO DE DATOS'!F45*10000,IF('INGRESO DE DATOS'!E45&lt;10000,'INGRESO DE DATOS'!E45,IF('INGRESO DE DATOS'!E45&gt;=10000,10000,0)))</f>
        <v>0</v>
      </c>
      <c r="I89" s="299">
        <f>IF('INGRESO DE DATOS'!F45&gt;=2,'INGRESO DE DATOS'!F45*3000,IF('INGRESO DE DATOS'!E45&gt;12000,3000,IF('INGRESO DE DATOS'!E45=12000,2000,IF('INGRESO DE DATOS'!E45&lt;12000,0))))</f>
        <v>0</v>
      </c>
      <c r="J89" s="301">
        <f t="shared" ref="J89" si="8">+G89-H89-I89-L89-L90-L91</f>
        <v>0</v>
      </c>
      <c r="K89" s="238"/>
      <c r="L89" s="233"/>
      <c r="M89" s="43"/>
    </row>
    <row r="90" spans="1:13" ht="14.25" customHeight="1" x14ac:dyDescent="0.3">
      <c r="A90" s="279"/>
      <c r="B90" s="137"/>
      <c r="C90" s="226"/>
      <c r="D90" s="280"/>
      <c r="E90" s="281"/>
      <c r="F90" s="320"/>
      <c r="G90" s="283"/>
      <c r="H90" s="317"/>
      <c r="I90" s="286"/>
      <c r="J90" s="287"/>
      <c r="K90" s="239"/>
      <c r="L90" s="234"/>
      <c r="M90" s="43"/>
    </row>
    <row r="91" spans="1:13" ht="14.25" customHeight="1" thickBot="1" x14ac:dyDescent="0.35">
      <c r="A91" s="289"/>
      <c r="B91" s="138"/>
      <c r="C91" s="139"/>
      <c r="D91" s="291"/>
      <c r="E91" s="293"/>
      <c r="F91" s="321"/>
      <c r="G91" s="284"/>
      <c r="H91" s="318"/>
      <c r="I91" s="300"/>
      <c r="J91" s="302"/>
      <c r="K91" s="240"/>
      <c r="L91" s="236"/>
      <c r="M91" s="43"/>
    </row>
    <row r="92" spans="1:13" ht="14.25" customHeight="1" x14ac:dyDescent="0.3">
      <c r="A92" s="279"/>
      <c r="B92" s="137" t="str">
        <f>IF(G92&gt;1,'INGRESO DE DATOS'!$I$9," ")</f>
        <v xml:space="preserve"> </v>
      </c>
      <c r="C92" s="226"/>
      <c r="D92" s="280"/>
      <c r="E92" s="281">
        <f>+'INGRESO DE DATOS'!C46</f>
        <v>0</v>
      </c>
      <c r="F92" s="320">
        <f>+'INGRESO DE DATOS'!D46</f>
        <v>0</v>
      </c>
      <c r="G92" s="283">
        <f>IF('INGRESO DE DATOS'!F46&gt;=2,'INGRESO DE DATOS'!E46*'INGRESO DE DATOS'!F46,IF('INGRESO DE DATOS'!F46&lt;2,'INGRESO DE DATOS'!E46,0))+L92+L93+L94</f>
        <v>0</v>
      </c>
      <c r="H92" s="317">
        <f>IF('INGRESO DE DATOS'!F46&gt;=2,'INGRESO DE DATOS'!F46*10000,IF('INGRESO DE DATOS'!E46&lt;10000,'INGRESO DE DATOS'!E46,IF('INGRESO DE DATOS'!E46&gt;=10000,10000,0)))</f>
        <v>0</v>
      </c>
      <c r="I92" s="286">
        <f>IF('INGRESO DE DATOS'!F46&gt;=2,'INGRESO DE DATOS'!F46*3000,IF('INGRESO DE DATOS'!E46&gt;12000,3000,IF('INGRESO DE DATOS'!E46=12000,2000,IF('INGRESO DE DATOS'!E46&lt;12000,0))))</f>
        <v>0</v>
      </c>
      <c r="J92" s="287">
        <f t="shared" ref="J92" si="9">+G92-H92-I92-L92-L93-L94</f>
        <v>0</v>
      </c>
      <c r="K92" s="243"/>
      <c r="L92" s="235"/>
      <c r="M92" s="43"/>
    </row>
    <row r="93" spans="1:13" ht="14.25" customHeight="1" x14ac:dyDescent="0.3">
      <c r="A93" s="279"/>
      <c r="B93" s="137"/>
      <c r="C93" s="226"/>
      <c r="D93" s="280"/>
      <c r="E93" s="281"/>
      <c r="F93" s="320"/>
      <c r="G93" s="283"/>
      <c r="H93" s="317"/>
      <c r="I93" s="286"/>
      <c r="J93" s="287"/>
      <c r="K93" s="239"/>
      <c r="L93" s="234"/>
      <c r="M93" s="43"/>
    </row>
    <row r="94" spans="1:13" ht="14.25" customHeight="1" thickBot="1" x14ac:dyDescent="0.35">
      <c r="A94" s="279"/>
      <c r="B94" s="137"/>
      <c r="C94" s="226"/>
      <c r="D94" s="280"/>
      <c r="E94" s="281"/>
      <c r="F94" s="320"/>
      <c r="G94" s="283"/>
      <c r="H94" s="317"/>
      <c r="I94" s="286"/>
      <c r="J94" s="287"/>
      <c r="K94" s="241"/>
      <c r="L94" s="242"/>
      <c r="M94" s="43"/>
    </row>
    <row r="95" spans="1:13" ht="14.25" customHeight="1" x14ac:dyDescent="0.3">
      <c r="A95" s="288"/>
      <c r="B95" s="227" t="str">
        <f>IF(G95&gt;1,'INGRESO DE DATOS'!$I$9," ")</f>
        <v xml:space="preserve"> </v>
      </c>
      <c r="C95" s="228"/>
      <c r="D95" s="290"/>
      <c r="E95" s="292">
        <f>+'INGRESO DE DATOS'!C47</f>
        <v>0</v>
      </c>
      <c r="F95" s="319">
        <f>+'INGRESO DE DATOS'!D47</f>
        <v>0</v>
      </c>
      <c r="G95" s="296">
        <f>IF('INGRESO DE DATOS'!F47&gt;=2,'INGRESO DE DATOS'!E47*'INGRESO DE DATOS'!F47,IF('INGRESO DE DATOS'!F47&lt;2,'INGRESO DE DATOS'!E47,0))+L95+L96+L97</f>
        <v>0</v>
      </c>
      <c r="H95" s="316">
        <f>IF('INGRESO DE DATOS'!F47&gt;=2,'INGRESO DE DATOS'!F47*10000,IF('INGRESO DE DATOS'!E47&lt;10000,'INGRESO DE DATOS'!E47,IF('INGRESO DE DATOS'!E47&gt;=10000,10000,0)))</f>
        <v>0</v>
      </c>
      <c r="I95" s="299">
        <f>IF('INGRESO DE DATOS'!F47&gt;=2,'INGRESO DE DATOS'!F47*3000,IF('INGRESO DE DATOS'!E47&gt;12000,3000,IF('INGRESO DE DATOS'!E47=12000,2000,IF('INGRESO DE DATOS'!E47&lt;12000,0))))</f>
        <v>0</v>
      </c>
      <c r="J95" s="301">
        <f t="shared" ref="J95" si="10">+G95-H95-I95-L95-L96-L97</f>
        <v>0</v>
      </c>
      <c r="K95" s="238"/>
      <c r="L95" s="233"/>
      <c r="M95" s="43"/>
    </row>
    <row r="96" spans="1:13" ht="13.5" customHeight="1" x14ac:dyDescent="0.3">
      <c r="A96" s="279"/>
      <c r="B96" s="137"/>
      <c r="C96" s="226"/>
      <c r="D96" s="280"/>
      <c r="E96" s="281"/>
      <c r="F96" s="320"/>
      <c r="G96" s="283"/>
      <c r="H96" s="317"/>
      <c r="I96" s="286"/>
      <c r="J96" s="287"/>
      <c r="K96" s="239"/>
      <c r="L96" s="234"/>
      <c r="M96" s="43"/>
    </row>
    <row r="97" spans="1:13" ht="13.5" customHeight="1" thickBot="1" x14ac:dyDescent="0.35">
      <c r="A97" s="289"/>
      <c r="B97" s="138"/>
      <c r="C97" s="139"/>
      <c r="D97" s="291"/>
      <c r="E97" s="293"/>
      <c r="F97" s="321"/>
      <c r="G97" s="284"/>
      <c r="H97" s="318"/>
      <c r="I97" s="300"/>
      <c r="J97" s="302"/>
      <c r="K97" s="240"/>
      <c r="L97" s="236"/>
      <c r="M97" s="43"/>
    </row>
    <row r="98" spans="1:13" ht="13.5" customHeight="1" x14ac:dyDescent="0.3">
      <c r="A98" s="279"/>
      <c r="B98" s="137" t="str">
        <f>IF(G98&gt;1,'INGRESO DE DATOS'!$I$9," ")</f>
        <v xml:space="preserve"> </v>
      </c>
      <c r="C98" s="226"/>
      <c r="D98" s="280"/>
      <c r="E98" s="281">
        <f>+'INGRESO DE DATOS'!C48</f>
        <v>0</v>
      </c>
      <c r="F98" s="320">
        <f>+'INGRESO DE DATOS'!D48</f>
        <v>0</v>
      </c>
      <c r="G98" s="283">
        <f>IF('INGRESO DE DATOS'!F48&gt;=2,'INGRESO DE DATOS'!E48*'INGRESO DE DATOS'!F48,IF('INGRESO DE DATOS'!F48&lt;2,'INGRESO DE DATOS'!E48,0))+L98+L99+L100</f>
        <v>0</v>
      </c>
      <c r="H98" s="317">
        <f>IF('INGRESO DE DATOS'!F48&gt;=2,'INGRESO DE DATOS'!F48*10000,IF('INGRESO DE DATOS'!E48&lt;10000,'INGRESO DE DATOS'!E48,IF('INGRESO DE DATOS'!E48&gt;=10000,10000,0)))</f>
        <v>0</v>
      </c>
      <c r="I98" s="286">
        <f>IF('INGRESO DE DATOS'!F48&gt;=2,'INGRESO DE DATOS'!F48*3000,IF('INGRESO DE DATOS'!E48&gt;12000,3000,IF('INGRESO DE DATOS'!E48=12000,2000,IF('INGRESO DE DATOS'!E48&lt;12000,0))))</f>
        <v>0</v>
      </c>
      <c r="J98" s="287">
        <f t="shared" ref="J98" si="11">+G98-H98-I98-L98-L99-L100</f>
        <v>0</v>
      </c>
      <c r="K98" s="243"/>
      <c r="L98" s="235"/>
      <c r="M98" s="43"/>
    </row>
    <row r="99" spans="1:13" ht="13.5" customHeight="1" x14ac:dyDescent="0.3">
      <c r="A99" s="279"/>
      <c r="B99" s="137"/>
      <c r="C99" s="226"/>
      <c r="D99" s="280"/>
      <c r="E99" s="281"/>
      <c r="F99" s="320"/>
      <c r="G99" s="283"/>
      <c r="H99" s="317"/>
      <c r="I99" s="286"/>
      <c r="J99" s="287"/>
      <c r="K99" s="239"/>
      <c r="L99" s="234"/>
      <c r="M99" s="43"/>
    </row>
    <row r="100" spans="1:13" ht="13.5" customHeight="1" thickBot="1" x14ac:dyDescent="0.35">
      <c r="A100" s="279"/>
      <c r="B100" s="137"/>
      <c r="C100" s="226"/>
      <c r="D100" s="280"/>
      <c r="E100" s="281"/>
      <c r="F100" s="320"/>
      <c r="G100" s="283"/>
      <c r="H100" s="317"/>
      <c r="I100" s="286"/>
      <c r="J100" s="287"/>
      <c r="K100" s="241"/>
      <c r="L100" s="242"/>
      <c r="M100" s="43"/>
    </row>
    <row r="101" spans="1:13" ht="13.5" customHeight="1" x14ac:dyDescent="0.3">
      <c r="A101" s="288"/>
      <c r="B101" s="227" t="str">
        <f>IF(G101&gt;1,'INGRESO DE DATOS'!$I$9," ")</f>
        <v xml:space="preserve"> </v>
      </c>
      <c r="C101" s="228"/>
      <c r="D101" s="290"/>
      <c r="E101" s="292">
        <f>+'INGRESO DE DATOS'!C49</f>
        <v>0</v>
      </c>
      <c r="F101" s="319">
        <f>+'INGRESO DE DATOS'!D49</f>
        <v>0</v>
      </c>
      <c r="G101" s="296">
        <f>IF('INGRESO DE DATOS'!F49&gt;=2,'INGRESO DE DATOS'!E49*'INGRESO DE DATOS'!F49,IF('INGRESO DE DATOS'!F49&lt;2,'INGRESO DE DATOS'!E49,0))+L101+L102+L103</f>
        <v>0</v>
      </c>
      <c r="H101" s="316">
        <f>IF('INGRESO DE DATOS'!F49&gt;=2,'INGRESO DE DATOS'!F49*10000,IF('INGRESO DE DATOS'!E49&lt;10000,'INGRESO DE DATOS'!E49,IF('INGRESO DE DATOS'!E49&gt;=10000,10000,0)))</f>
        <v>0</v>
      </c>
      <c r="I101" s="299">
        <f>IF('INGRESO DE DATOS'!F49&gt;=2,'INGRESO DE DATOS'!F49*3000,IF('INGRESO DE DATOS'!E49&gt;12000,3000,IF('INGRESO DE DATOS'!E49=12000,2000,IF('INGRESO DE DATOS'!E49&lt;12000,0))))</f>
        <v>0</v>
      </c>
      <c r="J101" s="301">
        <f t="shared" ref="J101" si="12">+G101-H101-I101-L101-L102-L103</f>
        <v>0</v>
      </c>
      <c r="K101" s="238"/>
      <c r="L101" s="233"/>
      <c r="M101" s="43"/>
    </row>
    <row r="102" spans="1:13" ht="13.5" customHeight="1" x14ac:dyDescent="0.3">
      <c r="A102" s="279"/>
      <c r="B102" s="137"/>
      <c r="C102" s="226"/>
      <c r="D102" s="280"/>
      <c r="E102" s="281"/>
      <c r="F102" s="320"/>
      <c r="G102" s="283"/>
      <c r="H102" s="317"/>
      <c r="I102" s="286"/>
      <c r="J102" s="287"/>
      <c r="K102" s="239"/>
      <c r="L102" s="234"/>
      <c r="M102" s="43"/>
    </row>
    <row r="103" spans="1:13" ht="13.5" customHeight="1" thickBot="1" x14ac:dyDescent="0.35">
      <c r="A103" s="289"/>
      <c r="B103" s="138"/>
      <c r="C103" s="139"/>
      <c r="D103" s="291"/>
      <c r="E103" s="293"/>
      <c r="F103" s="321"/>
      <c r="G103" s="284"/>
      <c r="H103" s="318"/>
      <c r="I103" s="300"/>
      <c r="J103" s="302"/>
      <c r="K103" s="240"/>
      <c r="L103" s="236"/>
      <c r="M103" s="43"/>
    </row>
    <row r="104" spans="1:13" ht="13.5" customHeight="1" x14ac:dyDescent="0.3">
      <c r="A104" s="279"/>
      <c r="B104" s="137" t="str">
        <f>IF(G104&gt;1,'INGRESO DE DATOS'!$I$9," ")</f>
        <v xml:space="preserve"> </v>
      </c>
      <c r="C104" s="226"/>
      <c r="D104" s="280"/>
      <c r="E104" s="281">
        <f>+'INGRESO DE DATOS'!C50</f>
        <v>0</v>
      </c>
      <c r="F104" s="320">
        <f>+'INGRESO DE DATOS'!D50</f>
        <v>0</v>
      </c>
      <c r="G104" s="283">
        <f>IF('INGRESO DE DATOS'!F50&gt;=2,'INGRESO DE DATOS'!E50*'INGRESO DE DATOS'!F50,IF('INGRESO DE DATOS'!F50&lt;2,'INGRESO DE DATOS'!E50,0))+L104+L105+L106</f>
        <v>0</v>
      </c>
      <c r="H104" s="317">
        <f>IF('INGRESO DE DATOS'!F50&gt;=2,'INGRESO DE DATOS'!F50*10000,IF('INGRESO DE DATOS'!E50&lt;10000,'INGRESO DE DATOS'!E50,IF('INGRESO DE DATOS'!E50&gt;=10000,10000,0)))</f>
        <v>0</v>
      </c>
      <c r="I104" s="286">
        <f>IF('INGRESO DE DATOS'!F50&gt;=2,'INGRESO DE DATOS'!F50*3000,IF('INGRESO DE DATOS'!E50&gt;12000,3000,IF('INGRESO DE DATOS'!E50=12000,2000,IF('INGRESO DE DATOS'!E50&lt;12000,0))))</f>
        <v>0</v>
      </c>
      <c r="J104" s="287">
        <f t="shared" ref="J104" si="13">+G104-H104-I104-L104-L105-L106</f>
        <v>0</v>
      </c>
      <c r="K104" s="243"/>
      <c r="L104" s="235"/>
      <c r="M104" s="43"/>
    </row>
    <row r="105" spans="1:13" ht="13.5" customHeight="1" x14ac:dyDescent="0.3">
      <c r="A105" s="279"/>
      <c r="B105" s="137"/>
      <c r="C105" s="226"/>
      <c r="D105" s="280"/>
      <c r="E105" s="281"/>
      <c r="F105" s="320"/>
      <c r="G105" s="283"/>
      <c r="H105" s="317"/>
      <c r="I105" s="286"/>
      <c r="J105" s="287"/>
      <c r="K105" s="239"/>
      <c r="L105" s="234"/>
      <c r="M105" s="43"/>
    </row>
    <row r="106" spans="1:13" ht="13.5" customHeight="1" thickBot="1" x14ac:dyDescent="0.35">
      <c r="A106" s="279"/>
      <c r="B106" s="137"/>
      <c r="C106" s="226"/>
      <c r="D106" s="280"/>
      <c r="E106" s="281"/>
      <c r="F106" s="320"/>
      <c r="G106" s="283"/>
      <c r="H106" s="317"/>
      <c r="I106" s="286"/>
      <c r="J106" s="287"/>
      <c r="K106" s="241"/>
      <c r="L106" s="242"/>
      <c r="M106" s="43"/>
    </row>
    <row r="107" spans="1:13" ht="13.5" customHeight="1" x14ac:dyDescent="0.3">
      <c r="A107" s="288"/>
      <c r="B107" s="227" t="str">
        <f>IF(G107&gt;1,'INGRESO DE DATOS'!$I$9," ")</f>
        <v xml:space="preserve"> </v>
      </c>
      <c r="C107" s="228"/>
      <c r="D107" s="290"/>
      <c r="E107" s="292">
        <f>+'INGRESO DE DATOS'!C51</f>
        <v>0</v>
      </c>
      <c r="F107" s="319">
        <f>+'INGRESO DE DATOS'!D51</f>
        <v>0</v>
      </c>
      <c r="G107" s="296">
        <f>IF('INGRESO DE DATOS'!F51&gt;=2,'INGRESO DE DATOS'!E51*'INGRESO DE DATOS'!F51,IF('INGRESO DE DATOS'!F51&lt;2,'INGRESO DE DATOS'!E51,0))+L107+L108+L109</f>
        <v>0</v>
      </c>
      <c r="H107" s="316">
        <f>IF('INGRESO DE DATOS'!F51&gt;=2,'INGRESO DE DATOS'!F51*10000,IF('INGRESO DE DATOS'!E51&lt;10000,'INGRESO DE DATOS'!E51,IF('INGRESO DE DATOS'!E51&gt;=10000,10000,0)))</f>
        <v>0</v>
      </c>
      <c r="I107" s="299">
        <f>IF('INGRESO DE DATOS'!F51&gt;=2,'INGRESO DE DATOS'!F51*3000,IF('INGRESO DE DATOS'!E51&gt;12000,3000,IF('INGRESO DE DATOS'!E51=12000,2000,IF('INGRESO DE DATOS'!E51&lt;12000,0))))</f>
        <v>0</v>
      </c>
      <c r="J107" s="301">
        <f t="shared" ref="J107" si="14">+G107-H107-I107-L107-L108-L109</f>
        <v>0</v>
      </c>
      <c r="K107" s="238"/>
      <c r="L107" s="233"/>
      <c r="M107" s="43"/>
    </row>
    <row r="108" spans="1:13" ht="13.5" customHeight="1" x14ac:dyDescent="0.3">
      <c r="A108" s="279"/>
      <c r="B108" s="137"/>
      <c r="C108" s="226"/>
      <c r="D108" s="280"/>
      <c r="E108" s="281"/>
      <c r="F108" s="320"/>
      <c r="G108" s="283"/>
      <c r="H108" s="317"/>
      <c r="I108" s="286"/>
      <c r="J108" s="287"/>
      <c r="K108" s="239"/>
      <c r="L108" s="234"/>
      <c r="M108" s="43"/>
    </row>
    <row r="109" spans="1:13" ht="13.5" customHeight="1" thickBot="1" x14ac:dyDescent="0.35">
      <c r="A109" s="289"/>
      <c r="B109" s="138"/>
      <c r="C109" s="139"/>
      <c r="D109" s="291"/>
      <c r="E109" s="293"/>
      <c r="F109" s="321"/>
      <c r="G109" s="284"/>
      <c r="H109" s="318"/>
      <c r="I109" s="300"/>
      <c r="J109" s="302"/>
      <c r="K109" s="240"/>
      <c r="L109" s="236"/>
      <c r="M109" s="43"/>
    </row>
    <row r="110" spans="1:13" ht="13.5" customHeight="1" x14ac:dyDescent="0.3">
      <c r="A110" s="279"/>
      <c r="B110" s="137" t="str">
        <f>IF(G110&gt;1,'INGRESO DE DATOS'!$I$9," ")</f>
        <v xml:space="preserve"> </v>
      </c>
      <c r="C110" s="226"/>
      <c r="D110" s="280"/>
      <c r="E110" s="281">
        <f>+'INGRESO DE DATOS'!C52</f>
        <v>0</v>
      </c>
      <c r="F110" s="320">
        <f>+'INGRESO DE DATOS'!D52</f>
        <v>0</v>
      </c>
      <c r="G110" s="283">
        <f>IF('INGRESO DE DATOS'!F52&gt;=2,'INGRESO DE DATOS'!E52*'INGRESO DE DATOS'!F52,IF('INGRESO DE DATOS'!F52&lt;2,'INGRESO DE DATOS'!E52,0))+L110+L111+L112</f>
        <v>0</v>
      </c>
      <c r="H110" s="317">
        <f>IF('INGRESO DE DATOS'!F52&gt;=2,'INGRESO DE DATOS'!F52*10000,IF('INGRESO DE DATOS'!E52&lt;10000,'INGRESO DE DATOS'!E52,IF('INGRESO DE DATOS'!E52&gt;=10000,10000,0)))</f>
        <v>0</v>
      </c>
      <c r="I110" s="286">
        <f>IF('INGRESO DE DATOS'!F52&gt;=2,'INGRESO DE DATOS'!F52*3000,IF('INGRESO DE DATOS'!E52&gt;12000,3000,IF('INGRESO DE DATOS'!E52=12000,2000,IF('INGRESO DE DATOS'!E52&lt;12000,0))))</f>
        <v>0</v>
      </c>
      <c r="J110" s="287">
        <f t="shared" ref="J110" si="15">+G110-H110-I110-L110-L111-L112</f>
        <v>0</v>
      </c>
      <c r="K110" s="243"/>
      <c r="L110" s="235"/>
      <c r="M110" s="43"/>
    </row>
    <row r="111" spans="1:13" ht="13.5" customHeight="1" x14ac:dyDescent="0.3">
      <c r="A111" s="279"/>
      <c r="B111" s="137"/>
      <c r="C111" s="226"/>
      <c r="D111" s="280"/>
      <c r="E111" s="281"/>
      <c r="F111" s="320"/>
      <c r="G111" s="283"/>
      <c r="H111" s="317"/>
      <c r="I111" s="286"/>
      <c r="J111" s="287"/>
      <c r="K111" s="239"/>
      <c r="L111" s="234"/>
      <c r="M111" s="43"/>
    </row>
    <row r="112" spans="1:13" ht="13.5" customHeight="1" thickBot="1" x14ac:dyDescent="0.35">
      <c r="A112" s="279"/>
      <c r="B112" s="137"/>
      <c r="C112" s="226"/>
      <c r="D112" s="280"/>
      <c r="E112" s="281"/>
      <c r="F112" s="320"/>
      <c r="G112" s="283"/>
      <c r="H112" s="317"/>
      <c r="I112" s="286"/>
      <c r="J112" s="287"/>
      <c r="K112" s="241"/>
      <c r="L112" s="242"/>
      <c r="M112" s="43"/>
    </row>
    <row r="113" spans="1:13" ht="13.5" customHeight="1" x14ac:dyDescent="0.3">
      <c r="A113" s="288"/>
      <c r="B113" s="227" t="str">
        <f>IF(G113&gt;1,'INGRESO DE DATOS'!$I$9," ")</f>
        <v xml:space="preserve"> </v>
      </c>
      <c r="C113" s="228"/>
      <c r="D113" s="290"/>
      <c r="E113" s="292">
        <f>+'INGRESO DE DATOS'!C53</f>
        <v>0</v>
      </c>
      <c r="F113" s="319">
        <f>+'INGRESO DE DATOS'!D53</f>
        <v>0</v>
      </c>
      <c r="G113" s="296">
        <f>IF('INGRESO DE DATOS'!F53&gt;=2,'INGRESO DE DATOS'!E53*'INGRESO DE DATOS'!F53,IF('INGRESO DE DATOS'!F53&lt;2,'INGRESO DE DATOS'!E53,0))+L113+L114+L115</f>
        <v>0</v>
      </c>
      <c r="H113" s="316">
        <f>IF('INGRESO DE DATOS'!F53&gt;=2,'INGRESO DE DATOS'!F53*10000,IF('INGRESO DE DATOS'!E53&lt;10000,'INGRESO DE DATOS'!E53,IF('INGRESO DE DATOS'!E53&gt;=10000,10000,0)))</f>
        <v>0</v>
      </c>
      <c r="I113" s="299">
        <f>IF('INGRESO DE DATOS'!F53&gt;=2,'INGRESO DE DATOS'!F53*3000,IF('INGRESO DE DATOS'!E53&gt;12000,3000,IF('INGRESO DE DATOS'!E53=12000,2000,IF('INGRESO DE DATOS'!E53&lt;12000,0))))</f>
        <v>0</v>
      </c>
      <c r="J113" s="301">
        <f t="shared" ref="J113" si="16">+G113-H113-I113-L113-L114-L115</f>
        <v>0</v>
      </c>
      <c r="K113" s="244"/>
      <c r="L113" s="233"/>
      <c r="M113" s="43"/>
    </row>
    <row r="114" spans="1:13" ht="13.5" customHeight="1" x14ac:dyDescent="0.3">
      <c r="A114" s="279"/>
      <c r="B114" s="137"/>
      <c r="C114" s="226"/>
      <c r="D114" s="280"/>
      <c r="E114" s="281"/>
      <c r="F114" s="320"/>
      <c r="G114" s="283"/>
      <c r="H114" s="317"/>
      <c r="I114" s="286"/>
      <c r="J114" s="287"/>
      <c r="K114" s="239"/>
      <c r="L114" s="234"/>
      <c r="M114" s="43"/>
    </row>
    <row r="115" spans="1:13" ht="13.5" customHeight="1" thickBot="1" x14ac:dyDescent="0.35">
      <c r="A115" s="289"/>
      <c r="B115" s="138"/>
      <c r="C115" s="139"/>
      <c r="D115" s="291"/>
      <c r="E115" s="293"/>
      <c r="F115" s="321"/>
      <c r="G115" s="284"/>
      <c r="H115" s="318"/>
      <c r="I115" s="300"/>
      <c r="J115" s="302"/>
      <c r="K115" s="240"/>
      <c r="L115" s="236"/>
      <c r="M115" s="43"/>
    </row>
    <row r="116" spans="1:13" ht="13.5" customHeight="1" x14ac:dyDescent="0.3">
      <c r="A116" s="279"/>
      <c r="B116" s="137"/>
      <c r="C116" s="226"/>
      <c r="D116" s="280"/>
      <c r="E116" s="281">
        <f>+'INGRESO DE DATOS'!C54</f>
        <v>0</v>
      </c>
      <c r="F116" s="320">
        <f>+'INGRESO DE DATOS'!D54</f>
        <v>0</v>
      </c>
      <c r="G116" s="283">
        <f>IF('INGRESO DE DATOS'!F54&gt;=2,'INGRESO DE DATOS'!E54*'INGRESO DE DATOS'!F54,IF('INGRESO DE DATOS'!F54&lt;2,'INGRESO DE DATOS'!E54,0))+L116+L117+L118</f>
        <v>0</v>
      </c>
      <c r="H116" s="317">
        <f>IF('INGRESO DE DATOS'!F54&gt;=2,'INGRESO DE DATOS'!F54*10000,IF('INGRESO DE DATOS'!E54&lt;10000,'INGRESO DE DATOS'!E54,IF('INGRESO DE DATOS'!E54&gt;=10000,10000,0)))</f>
        <v>0</v>
      </c>
      <c r="I116" s="286">
        <f>IF('INGRESO DE DATOS'!F54&gt;=2,'INGRESO DE DATOS'!F54*3000,IF('INGRESO DE DATOS'!E54&gt;12000,3000,IF('INGRESO DE DATOS'!E54=12000,2000,IF('INGRESO DE DATOS'!E54&lt;12000,0))))</f>
        <v>0</v>
      </c>
      <c r="J116" s="287">
        <f t="shared" ref="J116" si="17">+G116-H116-I116-L116-L117-L118</f>
        <v>0</v>
      </c>
      <c r="K116" s="243"/>
      <c r="L116" s="235"/>
      <c r="M116" s="43"/>
    </row>
    <row r="117" spans="1:13" ht="13.5" customHeight="1" x14ac:dyDescent="0.3">
      <c r="A117" s="279"/>
      <c r="B117" s="137"/>
      <c r="C117" s="226"/>
      <c r="D117" s="280"/>
      <c r="E117" s="281"/>
      <c r="F117" s="320"/>
      <c r="G117" s="283"/>
      <c r="H117" s="317"/>
      <c r="I117" s="286"/>
      <c r="J117" s="287"/>
      <c r="K117" s="239"/>
      <c r="L117" s="234"/>
      <c r="M117" s="43"/>
    </row>
    <row r="118" spans="1:13" ht="13.5" customHeight="1" thickBot="1" x14ac:dyDescent="0.35">
      <c r="A118" s="279"/>
      <c r="B118" s="137"/>
      <c r="C118" s="226"/>
      <c r="D118" s="280"/>
      <c r="E118" s="281"/>
      <c r="F118" s="320"/>
      <c r="G118" s="283"/>
      <c r="H118" s="317"/>
      <c r="I118" s="286"/>
      <c r="J118" s="287"/>
      <c r="K118" s="241"/>
      <c r="L118" s="242"/>
      <c r="M118" s="43"/>
    </row>
    <row r="119" spans="1:13" ht="13.5" customHeight="1" x14ac:dyDescent="0.3">
      <c r="A119" s="288"/>
      <c r="B119" s="227" t="str">
        <f>IF(G119&gt;1,'INGRESO DE DATOS'!$I$9," ")</f>
        <v xml:space="preserve"> </v>
      </c>
      <c r="C119" s="228"/>
      <c r="D119" s="290"/>
      <c r="E119" s="292">
        <f>+'INGRESO DE DATOS'!C55</f>
        <v>0</v>
      </c>
      <c r="F119" s="319">
        <f>+'INGRESO DE DATOS'!D55</f>
        <v>0</v>
      </c>
      <c r="G119" s="296">
        <f>IF('INGRESO DE DATOS'!F55&gt;=2,'INGRESO DE DATOS'!E55*'INGRESO DE DATOS'!F55,IF('INGRESO DE DATOS'!F55&lt;2,'INGRESO DE DATOS'!E55,0))+L119+L120+L121</f>
        <v>0</v>
      </c>
      <c r="H119" s="316">
        <f>IF('INGRESO DE DATOS'!F55&gt;=2,'INGRESO DE DATOS'!F55*10000,IF('INGRESO DE DATOS'!E55&lt;10000,'INGRESO DE DATOS'!E55,IF('INGRESO DE DATOS'!E55&gt;=10000,10000,0)))</f>
        <v>0</v>
      </c>
      <c r="I119" s="299">
        <f>IF('INGRESO DE DATOS'!F55&gt;=2,'INGRESO DE DATOS'!F55*3000,IF('INGRESO DE DATOS'!E55&gt;12000,3000,IF('INGRESO DE DATOS'!E55=12000,2000,IF('INGRESO DE DATOS'!E55&lt;12000,0))))</f>
        <v>0</v>
      </c>
      <c r="J119" s="301">
        <f t="shared" ref="J119" si="18">+G119-H119-I119-L119-L120-L121</f>
        <v>0</v>
      </c>
      <c r="K119" s="238"/>
      <c r="L119" s="233"/>
      <c r="M119" s="43"/>
    </row>
    <row r="120" spans="1:13" ht="13.5" customHeight="1" x14ac:dyDescent="0.3">
      <c r="A120" s="279"/>
      <c r="B120" s="137"/>
      <c r="C120" s="226"/>
      <c r="D120" s="280"/>
      <c r="E120" s="281"/>
      <c r="F120" s="320"/>
      <c r="G120" s="283"/>
      <c r="H120" s="317"/>
      <c r="I120" s="286"/>
      <c r="J120" s="287"/>
      <c r="K120" s="239"/>
      <c r="L120" s="234"/>
      <c r="M120" s="43"/>
    </row>
    <row r="121" spans="1:13" ht="13.5" customHeight="1" thickBot="1" x14ac:dyDescent="0.35">
      <c r="A121" s="289"/>
      <c r="B121" s="138"/>
      <c r="C121" s="139"/>
      <c r="D121" s="291"/>
      <c r="E121" s="293"/>
      <c r="F121" s="321"/>
      <c r="G121" s="284"/>
      <c r="H121" s="318"/>
      <c r="I121" s="300"/>
      <c r="J121" s="302"/>
      <c r="K121" s="240"/>
      <c r="L121" s="236"/>
      <c r="M121" s="43"/>
    </row>
    <row r="122" spans="1:13" ht="13.5" customHeight="1" x14ac:dyDescent="0.3">
      <c r="A122" s="279"/>
      <c r="B122" s="137" t="str">
        <f>IF(G122&gt;1,'INGRESO DE DATOS'!$I$9," ")</f>
        <v xml:space="preserve"> </v>
      </c>
      <c r="C122" s="226"/>
      <c r="D122" s="280"/>
      <c r="E122" s="281">
        <f>+'INGRESO DE DATOS'!C56</f>
        <v>0</v>
      </c>
      <c r="F122" s="320">
        <f>+'INGRESO DE DATOS'!D56</f>
        <v>0</v>
      </c>
      <c r="G122" s="283">
        <f>IF('INGRESO DE DATOS'!F56&gt;=2,'INGRESO DE DATOS'!E56*'INGRESO DE DATOS'!F56,IF('INGRESO DE DATOS'!F56&lt;2,'INGRESO DE DATOS'!E56,0))+L122+L123+L124</f>
        <v>0</v>
      </c>
      <c r="H122" s="317">
        <f>IF('INGRESO DE DATOS'!F56&gt;=2,'INGRESO DE DATOS'!F56*10000,IF('INGRESO DE DATOS'!E56&lt;10000,'INGRESO DE DATOS'!E56,IF('INGRESO DE DATOS'!E56&gt;=10000,10000,0)))</f>
        <v>0</v>
      </c>
      <c r="I122" s="286">
        <f>IF('INGRESO DE DATOS'!F56&gt;=2,'INGRESO DE DATOS'!F56*3000,IF('INGRESO DE DATOS'!E56&gt;12000,3000,IF('INGRESO DE DATOS'!E56=12000,2000,IF('INGRESO DE DATOS'!E56&lt;12000,0))))</f>
        <v>0</v>
      </c>
      <c r="J122" s="287">
        <f t="shared" ref="J122" si="19">+G122-H122-I122-L122-L123-L124</f>
        <v>0</v>
      </c>
      <c r="K122" s="243"/>
      <c r="L122" s="235"/>
      <c r="M122" s="43"/>
    </row>
    <row r="123" spans="1:13" ht="13.5" customHeight="1" x14ac:dyDescent="0.3">
      <c r="A123" s="279"/>
      <c r="B123" s="137"/>
      <c r="C123" s="226"/>
      <c r="D123" s="280"/>
      <c r="E123" s="281"/>
      <c r="F123" s="320"/>
      <c r="G123" s="283"/>
      <c r="H123" s="317"/>
      <c r="I123" s="286"/>
      <c r="J123" s="287"/>
      <c r="K123" s="239"/>
      <c r="L123" s="234"/>
      <c r="M123" s="43"/>
    </row>
    <row r="124" spans="1:13" ht="13.5" customHeight="1" thickBot="1" x14ac:dyDescent="0.35">
      <c r="A124" s="279"/>
      <c r="B124" s="137"/>
      <c r="C124" s="226"/>
      <c r="D124" s="280"/>
      <c r="E124" s="281"/>
      <c r="F124" s="320"/>
      <c r="G124" s="283"/>
      <c r="H124" s="317"/>
      <c r="I124" s="286"/>
      <c r="J124" s="287"/>
      <c r="K124" s="241"/>
      <c r="L124" s="242"/>
      <c r="M124" s="43"/>
    </row>
    <row r="125" spans="1:13" ht="13.5" customHeight="1" x14ac:dyDescent="0.3">
      <c r="A125" s="288"/>
      <c r="B125" s="227" t="str">
        <f>IF(G125&gt;1,'INGRESO DE DATOS'!$I$9," ")</f>
        <v xml:space="preserve"> </v>
      </c>
      <c r="C125" s="228"/>
      <c r="D125" s="290"/>
      <c r="E125" s="292">
        <f>+'INGRESO DE DATOS'!C57</f>
        <v>0</v>
      </c>
      <c r="F125" s="319">
        <f>+'INGRESO DE DATOS'!D57</f>
        <v>0</v>
      </c>
      <c r="G125" s="296">
        <f>IF('INGRESO DE DATOS'!F57&gt;=2,'INGRESO DE DATOS'!E57*'INGRESO DE DATOS'!F57,IF('INGRESO DE DATOS'!F57&lt;2,'INGRESO DE DATOS'!E57,0))+L125+L126+L127</f>
        <v>0</v>
      </c>
      <c r="H125" s="316">
        <f>IF('INGRESO DE DATOS'!F57&gt;=2,'INGRESO DE DATOS'!F57*10000,IF('INGRESO DE DATOS'!E57&lt;10000,'INGRESO DE DATOS'!E57,IF('INGRESO DE DATOS'!E57&gt;=10000,10000,0)))</f>
        <v>0</v>
      </c>
      <c r="I125" s="299">
        <f>IF('INGRESO DE DATOS'!F57&gt;=2,'INGRESO DE DATOS'!F57*3000,IF('INGRESO DE DATOS'!E57&gt;12000,3000,IF('INGRESO DE DATOS'!E57=12000,2000,IF('INGRESO DE DATOS'!E57&lt;12000,0))))</f>
        <v>0</v>
      </c>
      <c r="J125" s="301">
        <f t="shared" ref="J125" si="20">+G125-H125-I125-L125-L126-L127</f>
        <v>0</v>
      </c>
      <c r="K125" s="238"/>
      <c r="L125" s="233"/>
      <c r="M125" s="43"/>
    </row>
    <row r="126" spans="1:13" ht="13.5" customHeight="1" x14ac:dyDescent="0.3">
      <c r="A126" s="279"/>
      <c r="B126" s="137"/>
      <c r="C126" s="226"/>
      <c r="D126" s="280"/>
      <c r="E126" s="281"/>
      <c r="F126" s="320"/>
      <c r="G126" s="283"/>
      <c r="H126" s="317"/>
      <c r="I126" s="286"/>
      <c r="J126" s="287"/>
      <c r="K126" s="239"/>
      <c r="L126" s="234"/>
      <c r="M126" s="43"/>
    </row>
    <row r="127" spans="1:13" ht="13.5" customHeight="1" thickBot="1" x14ac:dyDescent="0.35">
      <c r="A127" s="289"/>
      <c r="B127" s="138"/>
      <c r="C127" s="139"/>
      <c r="D127" s="291"/>
      <c r="E127" s="293"/>
      <c r="F127" s="321"/>
      <c r="G127" s="284"/>
      <c r="H127" s="318"/>
      <c r="I127" s="300"/>
      <c r="J127" s="302"/>
      <c r="K127" s="240"/>
      <c r="L127" s="236"/>
      <c r="M127" s="43"/>
    </row>
    <row r="128" spans="1:13" ht="13.5" customHeight="1" x14ac:dyDescent="0.3">
      <c r="A128" s="279"/>
      <c r="B128" s="137" t="str">
        <f>IF(G128&gt;1,'INGRESO DE DATOS'!$I$9," ")</f>
        <v xml:space="preserve"> </v>
      </c>
      <c r="C128" s="226"/>
      <c r="D128" s="280"/>
      <c r="E128" s="281">
        <f>+'INGRESO DE DATOS'!C58</f>
        <v>0</v>
      </c>
      <c r="F128" s="320">
        <f>+'INGRESO DE DATOS'!D58</f>
        <v>0</v>
      </c>
      <c r="G128" s="283">
        <f>IF('INGRESO DE DATOS'!F58&gt;=2,'INGRESO DE DATOS'!E58*'INGRESO DE DATOS'!F58,IF('INGRESO DE DATOS'!F58&lt;2,'INGRESO DE DATOS'!E58,0))+L128+L129+L130</f>
        <v>0</v>
      </c>
      <c r="H128" s="317">
        <f>IF('INGRESO DE DATOS'!F58&gt;=2,'INGRESO DE DATOS'!F58*10000,IF('INGRESO DE DATOS'!E58&lt;10000,'INGRESO DE DATOS'!E58,IF('INGRESO DE DATOS'!E58&gt;=10000,10000,0)))</f>
        <v>0</v>
      </c>
      <c r="I128" s="286">
        <f>IF('INGRESO DE DATOS'!F58&gt;=2,'INGRESO DE DATOS'!F58*3000,IF('INGRESO DE DATOS'!E58&gt;12000,3000,IF('INGRESO DE DATOS'!E58=12000,2000,IF('INGRESO DE DATOS'!E58&lt;12000,0))))</f>
        <v>0</v>
      </c>
      <c r="J128" s="287">
        <f t="shared" ref="J128" si="21">+G128-H128-I128-L128-L129-L130</f>
        <v>0</v>
      </c>
      <c r="K128" s="243"/>
      <c r="L128" s="235"/>
      <c r="M128" s="43"/>
    </row>
    <row r="129" spans="1:13" ht="13.5" customHeight="1" x14ac:dyDescent="0.3">
      <c r="A129" s="279"/>
      <c r="B129" s="137"/>
      <c r="C129" s="226"/>
      <c r="D129" s="280"/>
      <c r="E129" s="281"/>
      <c r="F129" s="320"/>
      <c r="G129" s="283"/>
      <c r="H129" s="317"/>
      <c r="I129" s="286"/>
      <c r="J129" s="287"/>
      <c r="K129" s="239"/>
      <c r="L129" s="234"/>
      <c r="M129" s="43"/>
    </row>
    <row r="130" spans="1:13" ht="13.5" customHeight="1" thickBot="1" x14ac:dyDescent="0.35">
      <c r="A130" s="279"/>
      <c r="B130" s="137"/>
      <c r="C130" s="226"/>
      <c r="D130" s="280"/>
      <c r="E130" s="281"/>
      <c r="F130" s="320"/>
      <c r="G130" s="283"/>
      <c r="H130" s="317"/>
      <c r="I130" s="286"/>
      <c r="J130" s="287"/>
      <c r="K130" s="241"/>
      <c r="L130" s="242"/>
      <c r="M130" s="43"/>
    </row>
    <row r="131" spans="1:13" ht="13.5" customHeight="1" x14ac:dyDescent="0.3">
      <c r="A131" s="288"/>
      <c r="B131" s="227" t="str">
        <f>IF(G131&gt;1,'INGRESO DE DATOS'!$I$9," ")</f>
        <v xml:space="preserve"> </v>
      </c>
      <c r="C131" s="228"/>
      <c r="D131" s="290"/>
      <c r="E131" s="292">
        <f>+'INGRESO DE DATOS'!C59</f>
        <v>0</v>
      </c>
      <c r="F131" s="319">
        <f>+'INGRESO DE DATOS'!D59</f>
        <v>0</v>
      </c>
      <c r="G131" s="296">
        <f>IF('INGRESO DE DATOS'!F59&gt;=2,'INGRESO DE DATOS'!E59*'INGRESO DE DATOS'!F59,IF('INGRESO DE DATOS'!F59&lt;2,'INGRESO DE DATOS'!E59,0))+L131+L132+L133</f>
        <v>0</v>
      </c>
      <c r="H131" s="316">
        <f>IF('INGRESO DE DATOS'!F59&gt;=2,'INGRESO DE DATOS'!F59*10000,IF('INGRESO DE DATOS'!E59&lt;10000,'INGRESO DE DATOS'!E59,IF('INGRESO DE DATOS'!E59&gt;=10000,10000,0)))</f>
        <v>0</v>
      </c>
      <c r="I131" s="299">
        <f>IF('INGRESO DE DATOS'!F59&gt;=2,'INGRESO DE DATOS'!F59*3000,IF('INGRESO DE DATOS'!E59&gt;12000,3000,IF('INGRESO DE DATOS'!E59=12000,2000,IF('INGRESO DE DATOS'!E59&lt;12000,0))))</f>
        <v>0</v>
      </c>
      <c r="J131" s="301">
        <f t="shared" ref="J131" si="22">+G131-H131-I131-L131-L132-L133</f>
        <v>0</v>
      </c>
      <c r="K131" s="238"/>
      <c r="L131" s="233"/>
      <c r="M131" s="43"/>
    </row>
    <row r="132" spans="1:13" ht="13.5" customHeight="1" x14ac:dyDescent="0.3">
      <c r="A132" s="279"/>
      <c r="B132" s="137"/>
      <c r="C132" s="226"/>
      <c r="D132" s="280"/>
      <c r="E132" s="281"/>
      <c r="F132" s="320"/>
      <c r="G132" s="283"/>
      <c r="H132" s="317"/>
      <c r="I132" s="286"/>
      <c r="J132" s="287"/>
      <c r="K132" s="239"/>
      <c r="L132" s="234"/>
      <c r="M132" s="43"/>
    </row>
    <row r="133" spans="1:13" ht="13.5" customHeight="1" thickBot="1" x14ac:dyDescent="0.35">
      <c r="A133" s="289"/>
      <c r="B133" s="138"/>
      <c r="C133" s="139"/>
      <c r="D133" s="291"/>
      <c r="E133" s="293"/>
      <c r="F133" s="321"/>
      <c r="G133" s="284"/>
      <c r="H133" s="318"/>
      <c r="I133" s="300"/>
      <c r="J133" s="302"/>
      <c r="K133" s="240"/>
      <c r="L133" s="236"/>
      <c r="M133" s="43"/>
    </row>
    <row r="134" spans="1:13" ht="13.5" customHeight="1" x14ac:dyDescent="0.3">
      <c r="A134" s="279"/>
      <c r="B134" s="137" t="str">
        <f>IF(G134&gt;1,'INGRESO DE DATOS'!$I$9," ")</f>
        <v xml:space="preserve"> </v>
      </c>
      <c r="C134" s="226"/>
      <c r="D134" s="280"/>
      <c r="E134" s="281">
        <f>+'INGRESO DE DATOS'!C60</f>
        <v>0</v>
      </c>
      <c r="F134" s="320">
        <f>+'INGRESO DE DATOS'!D60</f>
        <v>0</v>
      </c>
      <c r="G134" s="283">
        <f>IF('INGRESO DE DATOS'!F60&gt;=2,'INGRESO DE DATOS'!E60*'INGRESO DE DATOS'!F60,IF('INGRESO DE DATOS'!F60&lt;2,'INGRESO DE DATOS'!E60,0))+L134+L135+L136</f>
        <v>0</v>
      </c>
      <c r="H134" s="317">
        <f>IF('INGRESO DE DATOS'!F60&gt;=2,'INGRESO DE DATOS'!F60*10000,IF('INGRESO DE DATOS'!E60&lt;10000,'INGRESO DE DATOS'!E60,IF('INGRESO DE DATOS'!E60&gt;=10000,10000,0)))</f>
        <v>0</v>
      </c>
      <c r="I134" s="286">
        <f>IF('INGRESO DE DATOS'!F60&gt;=2,'INGRESO DE DATOS'!F60*3000,IF('INGRESO DE DATOS'!E60&gt;12000,3000,IF('INGRESO DE DATOS'!E60=12000,2000,IF('INGRESO DE DATOS'!E60&lt;12000,0))))</f>
        <v>0</v>
      </c>
      <c r="J134" s="287">
        <f t="shared" ref="J134" si="23">+G134-H134-I134-L134-L135-L136</f>
        <v>0</v>
      </c>
      <c r="K134" s="243"/>
      <c r="L134" s="235"/>
      <c r="M134" s="43"/>
    </row>
    <row r="135" spans="1:13" ht="13.5" customHeight="1" x14ac:dyDescent="0.3">
      <c r="A135" s="279"/>
      <c r="B135" s="137"/>
      <c r="C135" s="226"/>
      <c r="D135" s="280"/>
      <c r="E135" s="281"/>
      <c r="F135" s="320"/>
      <c r="G135" s="283"/>
      <c r="H135" s="317"/>
      <c r="I135" s="286"/>
      <c r="J135" s="287"/>
      <c r="K135" s="239"/>
      <c r="L135" s="234"/>
      <c r="M135" s="43"/>
    </row>
    <row r="136" spans="1:13" ht="13.5" customHeight="1" thickBot="1" x14ac:dyDescent="0.35">
      <c r="A136" s="279"/>
      <c r="B136" s="137"/>
      <c r="C136" s="226"/>
      <c r="D136" s="280"/>
      <c r="E136" s="281"/>
      <c r="F136" s="320"/>
      <c r="G136" s="283"/>
      <c r="H136" s="317"/>
      <c r="I136" s="286"/>
      <c r="J136" s="287"/>
      <c r="K136" s="241"/>
      <c r="L136" s="242"/>
      <c r="M136" s="43"/>
    </row>
    <row r="137" spans="1:13" ht="13.5" customHeight="1" x14ac:dyDescent="0.3">
      <c r="A137" s="288"/>
      <c r="B137" s="227" t="str">
        <f>IF(G137&gt;1,'INGRESO DE DATOS'!$I$9," ")</f>
        <v xml:space="preserve"> </v>
      </c>
      <c r="C137" s="228"/>
      <c r="D137" s="290"/>
      <c r="E137" s="292">
        <f>+'INGRESO DE DATOS'!C61</f>
        <v>0</v>
      </c>
      <c r="F137" s="319">
        <f>+'INGRESO DE DATOS'!D61</f>
        <v>0</v>
      </c>
      <c r="G137" s="296">
        <f>IF('INGRESO DE DATOS'!F61&gt;=2,'INGRESO DE DATOS'!E61*'INGRESO DE DATOS'!F61,IF('INGRESO DE DATOS'!F61&lt;2,'INGRESO DE DATOS'!E61,0))+L137+L138+L139</f>
        <v>0</v>
      </c>
      <c r="H137" s="316">
        <f>IF('INGRESO DE DATOS'!F61&gt;=2,'INGRESO DE DATOS'!F61*10000,IF('INGRESO DE DATOS'!E61&lt;10000,'INGRESO DE DATOS'!E61,IF('INGRESO DE DATOS'!E61&gt;=10000,10000,0)))</f>
        <v>0</v>
      </c>
      <c r="I137" s="299">
        <f>IF('INGRESO DE DATOS'!F61&gt;=2,'INGRESO DE DATOS'!F61*3000,IF('INGRESO DE DATOS'!E61&gt;12000,3000,IF('INGRESO DE DATOS'!E61=12000,2000,IF('INGRESO DE DATOS'!E61&lt;12000,0))))</f>
        <v>0</v>
      </c>
      <c r="J137" s="301">
        <f t="shared" ref="J137" si="24">+G137-H137-I137-L137-L138-L139</f>
        <v>0</v>
      </c>
      <c r="K137" s="238"/>
      <c r="L137" s="233"/>
      <c r="M137" s="43"/>
    </row>
    <row r="138" spans="1:13" ht="13.5" customHeight="1" x14ac:dyDescent="0.3">
      <c r="A138" s="279"/>
      <c r="B138" s="137"/>
      <c r="C138" s="226"/>
      <c r="D138" s="280"/>
      <c r="E138" s="281"/>
      <c r="F138" s="320"/>
      <c r="G138" s="283"/>
      <c r="H138" s="317"/>
      <c r="I138" s="286"/>
      <c r="J138" s="287"/>
      <c r="K138" s="239"/>
      <c r="L138" s="234"/>
      <c r="M138" s="43"/>
    </row>
    <row r="139" spans="1:13" ht="13.5" customHeight="1" thickBot="1" x14ac:dyDescent="0.35">
      <c r="A139" s="289"/>
      <c r="B139" s="138"/>
      <c r="C139" s="139"/>
      <c r="D139" s="291"/>
      <c r="E139" s="293"/>
      <c r="F139" s="321"/>
      <c r="G139" s="284"/>
      <c r="H139" s="318"/>
      <c r="I139" s="300"/>
      <c r="J139" s="302"/>
      <c r="K139" s="240"/>
      <c r="L139" s="236"/>
      <c r="M139" s="43"/>
    </row>
    <row r="140" spans="1:13" ht="13.5" customHeight="1" x14ac:dyDescent="0.3">
      <c r="A140" s="279"/>
      <c r="B140" s="137" t="str">
        <f>IF(G140&gt;1,'INGRESO DE DATOS'!$I$9," ")</f>
        <v xml:space="preserve"> </v>
      </c>
      <c r="C140" s="226"/>
      <c r="D140" s="280"/>
      <c r="E140" s="281">
        <f>+'INGRESO DE DATOS'!C62</f>
        <v>0</v>
      </c>
      <c r="F140" s="320">
        <f>+'INGRESO DE DATOS'!D62</f>
        <v>0</v>
      </c>
      <c r="G140" s="283">
        <f>IF('INGRESO DE DATOS'!F62&gt;=2,'INGRESO DE DATOS'!E62*'INGRESO DE DATOS'!F62,IF('INGRESO DE DATOS'!F62&lt;2,'INGRESO DE DATOS'!E62,0))+L140+L141+L142</f>
        <v>0</v>
      </c>
      <c r="H140" s="317">
        <f>IF('INGRESO DE DATOS'!F62&gt;=2,'INGRESO DE DATOS'!F62*10000,IF('INGRESO DE DATOS'!E62&lt;10000,'INGRESO DE DATOS'!E62,IF('INGRESO DE DATOS'!E62&gt;=10000,10000,0)))</f>
        <v>0</v>
      </c>
      <c r="I140" s="286">
        <f>IF('INGRESO DE DATOS'!F62&gt;=2,'INGRESO DE DATOS'!F62*3000,IF('INGRESO DE DATOS'!E62&gt;12000,3000,IF('INGRESO DE DATOS'!E62=12000,2000,IF('INGRESO DE DATOS'!E62&lt;12000,0))))</f>
        <v>0</v>
      </c>
      <c r="J140" s="287">
        <f t="shared" ref="J140" si="25">+G140-H140-I140-L140-L141-L142</f>
        <v>0</v>
      </c>
      <c r="K140" s="243"/>
      <c r="L140" s="235"/>
      <c r="M140" s="43"/>
    </row>
    <row r="141" spans="1:13" ht="13.5" customHeight="1" x14ac:dyDescent="0.3">
      <c r="A141" s="279"/>
      <c r="B141" s="137"/>
      <c r="C141" s="226"/>
      <c r="D141" s="280"/>
      <c r="E141" s="281"/>
      <c r="F141" s="320"/>
      <c r="G141" s="283"/>
      <c r="H141" s="317"/>
      <c r="I141" s="286"/>
      <c r="J141" s="287"/>
      <c r="K141" s="239"/>
      <c r="L141" s="234"/>
      <c r="M141" s="43"/>
    </row>
    <row r="142" spans="1:13" ht="13.5" customHeight="1" thickBot="1" x14ac:dyDescent="0.35">
      <c r="A142" s="279"/>
      <c r="B142" s="137"/>
      <c r="C142" s="226"/>
      <c r="D142" s="280"/>
      <c r="E142" s="281"/>
      <c r="F142" s="320"/>
      <c r="G142" s="283"/>
      <c r="H142" s="317"/>
      <c r="I142" s="286"/>
      <c r="J142" s="287"/>
      <c r="K142" s="241"/>
      <c r="L142" s="242"/>
      <c r="M142" s="43"/>
    </row>
    <row r="143" spans="1:13" ht="13.5" customHeight="1" x14ac:dyDescent="0.3">
      <c r="A143" s="288"/>
      <c r="B143" s="227" t="str">
        <f>IF(G143&gt;1,'INGRESO DE DATOS'!$I$9," ")</f>
        <v xml:space="preserve"> </v>
      </c>
      <c r="C143" s="228"/>
      <c r="D143" s="290"/>
      <c r="E143" s="292">
        <f>+'INGRESO DE DATOS'!C63</f>
        <v>0</v>
      </c>
      <c r="F143" s="319">
        <f>+'INGRESO DE DATOS'!D63</f>
        <v>0</v>
      </c>
      <c r="G143" s="296">
        <f>IF('INGRESO DE DATOS'!F63&gt;=2,'INGRESO DE DATOS'!E63*'INGRESO DE DATOS'!F63,IF('INGRESO DE DATOS'!F63&lt;2,'INGRESO DE DATOS'!E63,0))+L143+L144+L145</f>
        <v>0</v>
      </c>
      <c r="H143" s="316">
        <f>IF('INGRESO DE DATOS'!F63&gt;=2,'INGRESO DE DATOS'!F63*10000,IF('INGRESO DE DATOS'!E63&lt;10000,'INGRESO DE DATOS'!E63,IF('INGRESO DE DATOS'!E63&gt;=10000,10000,0)))</f>
        <v>0</v>
      </c>
      <c r="I143" s="299">
        <f>IF('INGRESO DE DATOS'!F63&gt;=2,'INGRESO DE DATOS'!F63*3000,IF('INGRESO DE DATOS'!E63&gt;12000,3000,IF('INGRESO DE DATOS'!E63=12000,2000,IF('INGRESO DE DATOS'!E63&lt;12000,0))))</f>
        <v>0</v>
      </c>
      <c r="J143" s="301">
        <f t="shared" ref="J143" si="26">+G143-H143-I143-L143-L144-L145</f>
        <v>0</v>
      </c>
      <c r="K143" s="238"/>
      <c r="L143" s="233"/>
      <c r="M143" s="43"/>
    </row>
    <row r="144" spans="1:13" ht="13.5" customHeight="1" x14ac:dyDescent="0.3">
      <c r="A144" s="279"/>
      <c r="B144" s="137"/>
      <c r="C144" s="226"/>
      <c r="D144" s="280"/>
      <c r="E144" s="281"/>
      <c r="F144" s="320"/>
      <c r="G144" s="283"/>
      <c r="H144" s="317"/>
      <c r="I144" s="286"/>
      <c r="J144" s="287"/>
      <c r="K144" s="239"/>
      <c r="L144" s="234"/>
      <c r="M144" s="43"/>
    </row>
    <row r="145" spans="1:13" ht="13.5" customHeight="1" thickBot="1" x14ac:dyDescent="0.35">
      <c r="A145" s="289"/>
      <c r="B145" s="138"/>
      <c r="C145" s="139"/>
      <c r="D145" s="291"/>
      <c r="E145" s="293"/>
      <c r="F145" s="321"/>
      <c r="G145" s="284"/>
      <c r="H145" s="318"/>
      <c r="I145" s="300"/>
      <c r="J145" s="302"/>
      <c r="K145" s="240"/>
      <c r="L145" s="236"/>
      <c r="M145" s="43"/>
    </row>
    <row r="146" spans="1:13" ht="13.5" customHeight="1" x14ac:dyDescent="0.3">
      <c r="A146" s="279"/>
      <c r="B146" s="137" t="str">
        <f>IF(G146&gt;1,'INGRESO DE DATOS'!$I$9," ")</f>
        <v xml:space="preserve"> </v>
      </c>
      <c r="C146" s="226"/>
      <c r="D146" s="280"/>
      <c r="E146" s="281">
        <f>+'INGRESO DE DATOS'!C64</f>
        <v>0</v>
      </c>
      <c r="F146" s="320">
        <f>+'INGRESO DE DATOS'!D64</f>
        <v>0</v>
      </c>
      <c r="G146" s="283">
        <f>IF('INGRESO DE DATOS'!F64&gt;=2,'INGRESO DE DATOS'!E64*'INGRESO DE DATOS'!F64,IF('INGRESO DE DATOS'!F64&lt;2,'INGRESO DE DATOS'!E64,0))+L146+L147+L148</f>
        <v>0</v>
      </c>
      <c r="H146" s="317">
        <f>IF('INGRESO DE DATOS'!F64&gt;=2,'INGRESO DE DATOS'!F64*10000,IF('INGRESO DE DATOS'!E64&lt;10000,'INGRESO DE DATOS'!E64,IF('INGRESO DE DATOS'!E64&gt;=10000,10000,0)))</f>
        <v>0</v>
      </c>
      <c r="I146" s="286">
        <f>IF('INGRESO DE DATOS'!F64&gt;=2,'INGRESO DE DATOS'!F64*3000,IF('INGRESO DE DATOS'!E64&gt;12000,3000,IF('INGRESO DE DATOS'!E64=12000,2000,IF('INGRESO DE DATOS'!E64&lt;12000,0))))</f>
        <v>0</v>
      </c>
      <c r="J146" s="287">
        <f t="shared" ref="J146" si="27">+G146-H146-I146-L146-L147-L148</f>
        <v>0</v>
      </c>
      <c r="K146" s="243"/>
      <c r="L146" s="235"/>
      <c r="M146" s="43"/>
    </row>
    <row r="147" spans="1:13" ht="13.5" customHeight="1" x14ac:dyDescent="0.3">
      <c r="A147" s="279"/>
      <c r="B147" s="137"/>
      <c r="C147" s="226"/>
      <c r="D147" s="280"/>
      <c r="E147" s="281"/>
      <c r="F147" s="320"/>
      <c r="G147" s="283"/>
      <c r="H147" s="317"/>
      <c r="I147" s="286"/>
      <c r="J147" s="287"/>
      <c r="K147" s="239"/>
      <c r="L147" s="234"/>
      <c r="M147" s="43"/>
    </row>
    <row r="148" spans="1:13" ht="13.5" customHeight="1" thickBot="1" x14ac:dyDescent="0.35">
      <c r="A148" s="279"/>
      <c r="B148" s="137"/>
      <c r="C148" s="226"/>
      <c r="D148" s="280"/>
      <c r="E148" s="281"/>
      <c r="F148" s="320"/>
      <c r="G148" s="283"/>
      <c r="H148" s="317"/>
      <c r="I148" s="286"/>
      <c r="J148" s="287"/>
      <c r="K148" s="241"/>
      <c r="L148" s="242"/>
      <c r="M148" s="43"/>
    </row>
    <row r="149" spans="1:13" ht="13.5" customHeight="1" x14ac:dyDescent="0.3">
      <c r="A149" s="288"/>
      <c r="B149" s="227" t="str">
        <f>IF(G149&gt;1,'INGRESO DE DATOS'!$I$9," ")</f>
        <v xml:space="preserve"> </v>
      </c>
      <c r="C149" s="228"/>
      <c r="D149" s="290"/>
      <c r="E149" s="292">
        <f>+'INGRESO DE DATOS'!C65</f>
        <v>0</v>
      </c>
      <c r="F149" s="319">
        <f>+'INGRESO DE DATOS'!D65</f>
        <v>0</v>
      </c>
      <c r="G149" s="296">
        <f>IF('INGRESO DE DATOS'!F65&gt;=2,'INGRESO DE DATOS'!E65*'INGRESO DE DATOS'!F65,IF('INGRESO DE DATOS'!F65&lt;2,'INGRESO DE DATOS'!E65,0))+L149+L150+L151</f>
        <v>0</v>
      </c>
      <c r="H149" s="316">
        <f>IF('INGRESO DE DATOS'!F65&gt;=2,'INGRESO DE DATOS'!F65*10000,IF('INGRESO DE DATOS'!E65&lt;10000,'INGRESO DE DATOS'!E65,IF('INGRESO DE DATOS'!E65&gt;=10000,10000,0)))</f>
        <v>0</v>
      </c>
      <c r="I149" s="299">
        <f>IF('INGRESO DE DATOS'!F65&gt;=2,'INGRESO DE DATOS'!F65*3000,IF('INGRESO DE DATOS'!E65&gt;12000,3000,IF('INGRESO DE DATOS'!E65=12000,2000,IF('INGRESO DE DATOS'!E65&lt;12000,0))))</f>
        <v>0</v>
      </c>
      <c r="J149" s="301">
        <f t="shared" ref="J149" si="28">+G149-H149-I149-L149-L150-L151</f>
        <v>0</v>
      </c>
      <c r="K149" s="238"/>
      <c r="L149" s="233"/>
      <c r="M149" s="43"/>
    </row>
    <row r="150" spans="1:13" ht="13.5" customHeight="1" x14ac:dyDescent="0.3">
      <c r="A150" s="279"/>
      <c r="B150" s="137"/>
      <c r="C150" s="226"/>
      <c r="D150" s="280"/>
      <c r="E150" s="281"/>
      <c r="F150" s="320"/>
      <c r="G150" s="283"/>
      <c r="H150" s="317"/>
      <c r="I150" s="286"/>
      <c r="J150" s="287"/>
      <c r="K150" s="239"/>
      <c r="L150" s="234"/>
      <c r="M150" s="43"/>
    </row>
    <row r="151" spans="1:13" ht="13.5" customHeight="1" thickBot="1" x14ac:dyDescent="0.35">
      <c r="A151" s="289"/>
      <c r="B151" s="138"/>
      <c r="C151" s="139"/>
      <c r="D151" s="291"/>
      <c r="E151" s="293"/>
      <c r="F151" s="321"/>
      <c r="G151" s="284"/>
      <c r="H151" s="318"/>
      <c r="I151" s="300"/>
      <c r="J151" s="302"/>
      <c r="K151" s="240"/>
      <c r="L151" s="236"/>
      <c r="M151" s="43"/>
    </row>
    <row r="152" spans="1:13" ht="13.5" customHeight="1" x14ac:dyDescent="0.3">
      <c r="A152" s="279"/>
      <c r="B152" s="137" t="str">
        <f>IF(G152&gt;1,'INGRESO DE DATOS'!$I$9," ")</f>
        <v xml:space="preserve"> </v>
      </c>
      <c r="C152" s="226"/>
      <c r="D152" s="280"/>
      <c r="E152" s="281">
        <f>+'INGRESO DE DATOS'!C66</f>
        <v>0</v>
      </c>
      <c r="F152" s="320">
        <f>+'INGRESO DE DATOS'!D66</f>
        <v>0</v>
      </c>
      <c r="G152" s="283">
        <f>IF('INGRESO DE DATOS'!F66&gt;=2,'INGRESO DE DATOS'!E66*'INGRESO DE DATOS'!F66,IF('INGRESO DE DATOS'!F66&lt;2,'INGRESO DE DATOS'!E66,0))+L152+L153+L154</f>
        <v>0</v>
      </c>
      <c r="H152" s="317">
        <f>IF('INGRESO DE DATOS'!F66&gt;=2,'INGRESO DE DATOS'!F66*10000,IF('INGRESO DE DATOS'!E66&lt;10000,'INGRESO DE DATOS'!E66,IF('INGRESO DE DATOS'!E66&gt;=10000,10000,0)))</f>
        <v>0</v>
      </c>
      <c r="I152" s="286">
        <f>IF('INGRESO DE DATOS'!F66&gt;=2,'INGRESO DE DATOS'!F66*3000,IF('INGRESO DE DATOS'!E66&gt;12000,3000,IF('INGRESO DE DATOS'!E66=12000,2000,IF('INGRESO DE DATOS'!E66&lt;12000,0))))</f>
        <v>0</v>
      </c>
      <c r="J152" s="287">
        <f t="shared" ref="J152" si="29">+G152-H152-I152-L152-L153-L154</f>
        <v>0</v>
      </c>
      <c r="K152" s="243"/>
      <c r="L152" s="235"/>
      <c r="M152" s="43"/>
    </row>
    <row r="153" spans="1:13" ht="13.5" customHeight="1" x14ac:dyDescent="0.3">
      <c r="A153" s="279"/>
      <c r="B153" s="137"/>
      <c r="C153" s="226"/>
      <c r="D153" s="280"/>
      <c r="E153" s="281"/>
      <c r="F153" s="320"/>
      <c r="G153" s="283"/>
      <c r="H153" s="317"/>
      <c r="I153" s="286"/>
      <c r="J153" s="287"/>
      <c r="K153" s="239"/>
      <c r="L153" s="234"/>
      <c r="M153" s="43"/>
    </row>
    <row r="154" spans="1:13" ht="13.5" customHeight="1" thickBot="1" x14ac:dyDescent="0.35">
      <c r="A154" s="279"/>
      <c r="B154" s="137"/>
      <c r="C154" s="226"/>
      <c r="D154" s="280"/>
      <c r="E154" s="281"/>
      <c r="F154" s="320"/>
      <c r="G154" s="283"/>
      <c r="H154" s="317"/>
      <c r="I154" s="286"/>
      <c r="J154" s="287"/>
      <c r="K154" s="241"/>
      <c r="L154" s="242"/>
      <c r="M154" s="43"/>
    </row>
    <row r="155" spans="1:13" ht="13.5" customHeight="1" x14ac:dyDescent="0.3">
      <c r="A155" s="288"/>
      <c r="B155" s="227" t="str">
        <f>IF(G155&gt;1,'INGRESO DE DATOS'!$I$9," ")</f>
        <v xml:space="preserve"> </v>
      </c>
      <c r="C155" s="228"/>
      <c r="D155" s="290"/>
      <c r="E155" s="292">
        <f>+'INGRESO DE DATOS'!C67</f>
        <v>0</v>
      </c>
      <c r="F155" s="319">
        <f>+'INGRESO DE DATOS'!D67</f>
        <v>0</v>
      </c>
      <c r="G155" s="296">
        <f>IF('INGRESO DE DATOS'!F67&gt;=2,'INGRESO DE DATOS'!E67*'INGRESO DE DATOS'!F67,IF('INGRESO DE DATOS'!F67&lt;2,'INGRESO DE DATOS'!E67,0))+L155+L156+L157</f>
        <v>0</v>
      </c>
      <c r="H155" s="316">
        <f>IF('INGRESO DE DATOS'!F67&gt;=2,'INGRESO DE DATOS'!F67*10000,IF('INGRESO DE DATOS'!E67&lt;10000,'INGRESO DE DATOS'!E67,IF('INGRESO DE DATOS'!E67&gt;=10000,10000,0)))</f>
        <v>0</v>
      </c>
      <c r="I155" s="299">
        <f>IF('INGRESO DE DATOS'!F67&gt;=2,'INGRESO DE DATOS'!F67*3000,IF('INGRESO DE DATOS'!E67&gt;12000,3000,IF('INGRESO DE DATOS'!E67=12000,2000,IF('INGRESO DE DATOS'!E67&lt;12000,0))))</f>
        <v>0</v>
      </c>
      <c r="J155" s="301">
        <f t="shared" ref="J155" si="30">+G155-H155-I155-L155-L156-L157</f>
        <v>0</v>
      </c>
      <c r="K155" s="238"/>
      <c r="L155" s="233"/>
      <c r="M155" s="43"/>
    </row>
    <row r="156" spans="1:13" ht="13.5" customHeight="1" x14ac:dyDescent="0.3">
      <c r="A156" s="279"/>
      <c r="B156" s="137"/>
      <c r="C156" s="226"/>
      <c r="D156" s="280"/>
      <c r="E156" s="281"/>
      <c r="F156" s="320"/>
      <c r="G156" s="283"/>
      <c r="H156" s="317"/>
      <c r="I156" s="286"/>
      <c r="J156" s="287"/>
      <c r="K156" s="239"/>
      <c r="L156" s="234"/>
      <c r="M156" s="43"/>
    </row>
    <row r="157" spans="1:13" ht="13.5" customHeight="1" thickBot="1" x14ac:dyDescent="0.35">
      <c r="A157" s="289"/>
      <c r="B157" s="138"/>
      <c r="C157" s="139"/>
      <c r="D157" s="291"/>
      <c r="E157" s="293"/>
      <c r="F157" s="321"/>
      <c r="G157" s="284"/>
      <c r="H157" s="318"/>
      <c r="I157" s="300"/>
      <c r="J157" s="302"/>
      <c r="K157" s="240"/>
      <c r="L157" s="236"/>
      <c r="M157" s="43"/>
    </row>
    <row r="158" spans="1:13" ht="13.5" customHeight="1" x14ac:dyDescent="0.3">
      <c r="A158" s="279"/>
      <c r="B158" s="137" t="str">
        <f>IF(G158&gt;1,'INGRESO DE DATOS'!$I$9," ")</f>
        <v xml:space="preserve"> </v>
      </c>
      <c r="C158" s="226"/>
      <c r="D158" s="280"/>
      <c r="E158" s="281">
        <f>+'INGRESO DE DATOS'!C68</f>
        <v>0</v>
      </c>
      <c r="F158" s="320">
        <f>+'INGRESO DE DATOS'!D68</f>
        <v>0</v>
      </c>
      <c r="G158" s="283">
        <f>IF('INGRESO DE DATOS'!F68&gt;=2,'INGRESO DE DATOS'!E68*'INGRESO DE DATOS'!F68,IF('INGRESO DE DATOS'!F68&lt;2,'INGRESO DE DATOS'!E68,0))+L158+L159+L160</f>
        <v>0</v>
      </c>
      <c r="H158" s="317">
        <f>IF('INGRESO DE DATOS'!F68&gt;=2,'INGRESO DE DATOS'!F68*10000,IF('INGRESO DE DATOS'!E68&lt;10000,'INGRESO DE DATOS'!E68,IF('INGRESO DE DATOS'!E68&gt;=10000,10000,0)))</f>
        <v>0</v>
      </c>
      <c r="I158" s="286">
        <f>IF('INGRESO DE DATOS'!F68&gt;=2,'INGRESO DE DATOS'!F68*3000,IF('INGRESO DE DATOS'!E68&gt;12000,3000,IF('INGRESO DE DATOS'!E68=12000,2000,IF('INGRESO DE DATOS'!E68&lt;12000,0))))</f>
        <v>0</v>
      </c>
      <c r="J158" s="287">
        <f t="shared" ref="J158" si="31">+G158-H158-I158-L158-L159-L160</f>
        <v>0</v>
      </c>
      <c r="K158" s="243"/>
      <c r="L158" s="235"/>
      <c r="M158" s="43"/>
    </row>
    <row r="159" spans="1:13" ht="13.5" customHeight="1" x14ac:dyDescent="0.3">
      <c r="A159" s="279"/>
      <c r="B159" s="137"/>
      <c r="C159" s="226"/>
      <c r="D159" s="280"/>
      <c r="E159" s="281"/>
      <c r="F159" s="320"/>
      <c r="G159" s="283"/>
      <c r="H159" s="317"/>
      <c r="I159" s="286"/>
      <c r="J159" s="287"/>
      <c r="K159" s="239"/>
      <c r="L159" s="234"/>
      <c r="M159" s="43"/>
    </row>
    <row r="160" spans="1:13" ht="13.5" customHeight="1" thickBot="1" x14ac:dyDescent="0.35">
      <c r="A160" s="279"/>
      <c r="B160" s="137"/>
      <c r="C160" s="226"/>
      <c r="D160" s="280"/>
      <c r="E160" s="281"/>
      <c r="F160" s="320"/>
      <c r="G160" s="283"/>
      <c r="H160" s="317"/>
      <c r="I160" s="286"/>
      <c r="J160" s="287"/>
      <c r="K160" s="241"/>
      <c r="L160" s="242"/>
      <c r="M160" s="43"/>
    </row>
    <row r="161" spans="1:80" ht="13.5" customHeight="1" x14ac:dyDescent="0.3">
      <c r="A161" s="288"/>
      <c r="B161" s="227" t="str">
        <f>IF(G161&gt;1,'INGRESO DE DATOS'!$I$9," ")</f>
        <v xml:space="preserve"> </v>
      </c>
      <c r="C161" s="228"/>
      <c r="D161" s="290"/>
      <c r="E161" s="292">
        <f>+'INGRESO DE DATOS'!C69</f>
        <v>0</v>
      </c>
      <c r="F161" s="319">
        <f>+'INGRESO DE DATOS'!D69</f>
        <v>0</v>
      </c>
      <c r="G161" s="296">
        <f>IF('INGRESO DE DATOS'!F69&gt;=2,'INGRESO DE DATOS'!E69*'INGRESO DE DATOS'!F69,IF('INGRESO DE DATOS'!F69&lt;2,'INGRESO DE DATOS'!E69,0))+L161+L162+L163</f>
        <v>0</v>
      </c>
      <c r="H161" s="316">
        <f>IF('INGRESO DE DATOS'!F69&gt;=2,'INGRESO DE DATOS'!F69*10000,IF('INGRESO DE DATOS'!E69&lt;10000,'INGRESO DE DATOS'!E69,IF('INGRESO DE DATOS'!E69&gt;=10000,10000,0)))</f>
        <v>0</v>
      </c>
      <c r="I161" s="299">
        <f>IF('INGRESO DE DATOS'!F69&gt;=2,'INGRESO DE DATOS'!F69*3000,IF('INGRESO DE DATOS'!E69&gt;12000,3000,IF('INGRESO DE DATOS'!E69=12000,2000,IF('INGRESO DE DATOS'!E69&lt;12000,0))))</f>
        <v>0</v>
      </c>
      <c r="J161" s="301">
        <f t="shared" ref="J161" si="32">+G161-H161-I161-L161-L162-L163</f>
        <v>0</v>
      </c>
      <c r="K161" s="238"/>
      <c r="L161" s="233"/>
      <c r="M161" s="43"/>
    </row>
    <row r="162" spans="1:80" ht="13.5" customHeight="1" x14ac:dyDescent="0.3">
      <c r="A162" s="279"/>
      <c r="B162" s="137"/>
      <c r="C162" s="226"/>
      <c r="D162" s="280"/>
      <c r="E162" s="281"/>
      <c r="F162" s="320"/>
      <c r="G162" s="283"/>
      <c r="H162" s="317"/>
      <c r="I162" s="286"/>
      <c r="J162" s="287"/>
      <c r="K162" s="239"/>
      <c r="L162" s="234"/>
      <c r="M162" s="43"/>
    </row>
    <row r="163" spans="1:80" ht="13.5" customHeight="1" thickBot="1" x14ac:dyDescent="0.35">
      <c r="A163" s="289"/>
      <c r="B163" s="138"/>
      <c r="C163" s="139"/>
      <c r="D163" s="291"/>
      <c r="E163" s="293"/>
      <c r="F163" s="321"/>
      <c r="G163" s="284"/>
      <c r="H163" s="318"/>
      <c r="I163" s="300"/>
      <c r="J163" s="302"/>
      <c r="K163" s="240"/>
      <c r="L163" s="236"/>
      <c r="M163" s="43"/>
    </row>
    <row r="164" spans="1:80" s="45" customFormat="1" ht="13.5" customHeight="1" x14ac:dyDescent="0.3">
      <c r="A164" s="279"/>
      <c r="B164" s="137" t="str">
        <f>IF(G164&gt;1,'INGRESO DE DATOS'!$I$9," ")</f>
        <v xml:space="preserve"> </v>
      </c>
      <c r="C164" s="226"/>
      <c r="D164" s="280"/>
      <c r="E164" s="281">
        <f>+'INGRESO DE DATOS'!C70</f>
        <v>0</v>
      </c>
      <c r="F164" s="320">
        <f>+'INGRESO DE DATOS'!D70</f>
        <v>0</v>
      </c>
      <c r="G164" s="283">
        <f>IF('INGRESO DE DATOS'!F70&gt;=2,'INGRESO DE DATOS'!E70*'INGRESO DE DATOS'!F70,IF('INGRESO DE DATOS'!F70&lt;2,'INGRESO DE DATOS'!E70,0))+L164+L165+L166</f>
        <v>0</v>
      </c>
      <c r="H164" s="317">
        <f>IF('INGRESO DE DATOS'!F70&gt;=2,'INGRESO DE DATOS'!F70*10000,IF('INGRESO DE DATOS'!E70&lt;10000,'INGRESO DE DATOS'!E70,IF('INGRESO DE DATOS'!E70&gt;=10000,10000,0)))</f>
        <v>0</v>
      </c>
      <c r="I164" s="286">
        <f>IF('INGRESO DE DATOS'!F70&gt;=2,'INGRESO DE DATOS'!F70*3000,IF('INGRESO DE DATOS'!E70&gt;12000,3000,IF('INGRESO DE DATOS'!E70=12000,2000,IF('INGRESO DE DATOS'!E70&lt;12000,0))))</f>
        <v>0</v>
      </c>
      <c r="J164" s="287">
        <f t="shared" ref="J164" si="33">+G164-H164-I164-L164-L165-L166</f>
        <v>0</v>
      </c>
      <c r="K164" s="243"/>
      <c r="L164" s="235"/>
      <c r="M164" s="43"/>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row>
    <row r="165" spans="1:80" ht="13.5" customHeight="1" x14ac:dyDescent="0.3">
      <c r="A165" s="279"/>
      <c r="B165" s="137"/>
      <c r="C165" s="226"/>
      <c r="D165" s="280"/>
      <c r="E165" s="281"/>
      <c r="F165" s="320"/>
      <c r="G165" s="283"/>
      <c r="H165" s="317"/>
      <c r="I165" s="286"/>
      <c r="J165" s="287"/>
      <c r="K165" s="239"/>
      <c r="L165" s="234"/>
      <c r="M165" s="43"/>
    </row>
    <row r="166" spans="1:80" ht="13.5" customHeight="1" thickBot="1" x14ac:dyDescent="0.35">
      <c r="A166" s="279"/>
      <c r="B166" s="137"/>
      <c r="C166" s="226"/>
      <c r="D166" s="280"/>
      <c r="E166" s="281"/>
      <c r="F166" s="320"/>
      <c r="G166" s="283"/>
      <c r="H166" s="317"/>
      <c r="I166" s="286"/>
      <c r="J166" s="287"/>
      <c r="K166" s="241"/>
      <c r="L166" s="242"/>
      <c r="M166" s="43"/>
    </row>
    <row r="167" spans="1:80" ht="13.5" customHeight="1" x14ac:dyDescent="0.3">
      <c r="A167" s="288"/>
      <c r="B167" s="227" t="str">
        <f>IF(G167&gt;1,'INGRESO DE DATOS'!$I$9," ")</f>
        <v xml:space="preserve"> </v>
      </c>
      <c r="C167" s="228"/>
      <c r="D167" s="290"/>
      <c r="E167" s="292">
        <f>+'INGRESO DE DATOS'!C71</f>
        <v>0</v>
      </c>
      <c r="F167" s="319">
        <f>+'INGRESO DE DATOS'!D71</f>
        <v>0</v>
      </c>
      <c r="G167" s="296">
        <f>IF('INGRESO DE DATOS'!F71&gt;=2,'INGRESO DE DATOS'!E71*'INGRESO DE DATOS'!F71,IF('INGRESO DE DATOS'!F71&lt;2,'INGRESO DE DATOS'!E71,0))+L167+L168+L169</f>
        <v>0</v>
      </c>
      <c r="H167" s="316">
        <f>IF('INGRESO DE DATOS'!F71&gt;=2,'INGRESO DE DATOS'!F71*10000,IF('INGRESO DE DATOS'!E71&lt;10000,'INGRESO DE DATOS'!E71,IF('INGRESO DE DATOS'!E71&gt;=10000,10000,0)))</f>
        <v>0</v>
      </c>
      <c r="I167" s="299">
        <f>IF('INGRESO DE DATOS'!F71&gt;=2,'INGRESO DE DATOS'!F71*3000,IF('INGRESO DE DATOS'!E71&gt;12000,3000,IF('INGRESO DE DATOS'!E71=12000,2000,IF('INGRESO DE DATOS'!E71&lt;12000,0))))</f>
        <v>0</v>
      </c>
      <c r="J167" s="301">
        <f t="shared" ref="J167" si="34">+G167-H167-I167-L167-L168-L169</f>
        <v>0</v>
      </c>
      <c r="K167" s="238"/>
      <c r="L167" s="233"/>
      <c r="M167" s="43"/>
    </row>
    <row r="168" spans="1:80" ht="13.5" customHeight="1" x14ac:dyDescent="0.3">
      <c r="A168" s="279"/>
      <c r="B168" s="137"/>
      <c r="C168" s="226"/>
      <c r="D168" s="280"/>
      <c r="E168" s="281"/>
      <c r="F168" s="320"/>
      <c r="G168" s="283"/>
      <c r="H168" s="317"/>
      <c r="I168" s="286"/>
      <c r="J168" s="287"/>
      <c r="K168" s="239"/>
      <c r="L168" s="234"/>
      <c r="M168" s="43"/>
    </row>
    <row r="169" spans="1:80" ht="13.5" customHeight="1" thickBot="1" x14ac:dyDescent="0.35">
      <c r="A169" s="289"/>
      <c r="B169" s="138"/>
      <c r="C169" s="139"/>
      <c r="D169" s="291"/>
      <c r="E169" s="293"/>
      <c r="F169" s="321"/>
      <c r="G169" s="284"/>
      <c r="H169" s="318"/>
      <c r="I169" s="300"/>
      <c r="J169" s="302"/>
      <c r="K169" s="240"/>
      <c r="L169" s="236"/>
      <c r="M169" s="43"/>
    </row>
    <row r="170" spans="1:80" ht="13.5" customHeight="1" x14ac:dyDescent="0.3">
      <c r="A170" s="279"/>
      <c r="B170" s="137" t="str">
        <f>IF(G170&gt;1,'INGRESO DE DATOS'!$I$9," ")</f>
        <v xml:space="preserve"> </v>
      </c>
      <c r="C170" s="226"/>
      <c r="D170" s="280"/>
      <c r="E170" s="281">
        <f>+'INGRESO DE DATOS'!C72</f>
        <v>0</v>
      </c>
      <c r="F170" s="320">
        <f>+'INGRESO DE DATOS'!D72</f>
        <v>0</v>
      </c>
      <c r="G170" s="283">
        <f>IF('INGRESO DE DATOS'!F72&gt;=2,'INGRESO DE DATOS'!E72*'INGRESO DE DATOS'!F72,IF('INGRESO DE DATOS'!F72&lt;2,'INGRESO DE DATOS'!E72,0))+L170+L171+L172</f>
        <v>0</v>
      </c>
      <c r="H170" s="317">
        <f>IF('INGRESO DE DATOS'!F72&gt;=2,'INGRESO DE DATOS'!F72*10000,IF('INGRESO DE DATOS'!E72&lt;10000,'INGRESO DE DATOS'!E72,IF('INGRESO DE DATOS'!E72&gt;=10000,10000,0)))</f>
        <v>0</v>
      </c>
      <c r="I170" s="286">
        <f>IF('INGRESO DE DATOS'!F72&gt;=2,'INGRESO DE DATOS'!F72*3000,IF('INGRESO DE DATOS'!E72&gt;12000,3000,IF('INGRESO DE DATOS'!E72=12000,2000,IF('INGRESO DE DATOS'!E72&lt;12000,0))))</f>
        <v>0</v>
      </c>
      <c r="J170" s="287">
        <f t="shared" ref="J170" si="35">+G170-H170-I170-L170-L171-L172</f>
        <v>0</v>
      </c>
      <c r="K170" s="243"/>
      <c r="L170" s="235"/>
      <c r="M170" s="43"/>
    </row>
    <row r="171" spans="1:80" ht="13.5" customHeight="1" x14ac:dyDescent="0.3">
      <c r="A171" s="279"/>
      <c r="B171" s="137"/>
      <c r="C171" s="226"/>
      <c r="D171" s="280"/>
      <c r="E171" s="281"/>
      <c r="F171" s="320"/>
      <c r="G171" s="283"/>
      <c r="H171" s="317"/>
      <c r="I171" s="286"/>
      <c r="J171" s="287"/>
      <c r="K171" s="239"/>
      <c r="L171" s="234"/>
      <c r="M171" s="43"/>
    </row>
    <row r="172" spans="1:80" ht="13.5" customHeight="1" thickBot="1" x14ac:dyDescent="0.35">
      <c r="A172" s="279"/>
      <c r="B172" s="137"/>
      <c r="C172" s="226"/>
      <c r="D172" s="280"/>
      <c r="E172" s="281"/>
      <c r="F172" s="320"/>
      <c r="G172" s="283"/>
      <c r="H172" s="317"/>
      <c r="I172" s="286"/>
      <c r="J172" s="287"/>
      <c r="K172" s="241"/>
      <c r="L172" s="242"/>
      <c r="M172" s="43"/>
    </row>
    <row r="173" spans="1:80" ht="13.5" customHeight="1" x14ac:dyDescent="0.3">
      <c r="A173" s="288"/>
      <c r="B173" s="227" t="str">
        <f>IF(G173&gt;1,'INGRESO DE DATOS'!$I$9," ")</f>
        <v xml:space="preserve"> </v>
      </c>
      <c r="C173" s="228"/>
      <c r="D173" s="290"/>
      <c r="E173" s="292">
        <f>+'INGRESO DE DATOS'!C73</f>
        <v>0</v>
      </c>
      <c r="F173" s="319">
        <f>+'INGRESO DE DATOS'!D73</f>
        <v>0</v>
      </c>
      <c r="G173" s="296">
        <f>IF('INGRESO DE DATOS'!F73&gt;=2,'INGRESO DE DATOS'!E73*'INGRESO DE DATOS'!F73,IF('INGRESO DE DATOS'!F73&lt;2,'INGRESO DE DATOS'!E73,0))+L173+L174+L175</f>
        <v>0</v>
      </c>
      <c r="H173" s="316">
        <f>IF('INGRESO DE DATOS'!F73&gt;=2,'INGRESO DE DATOS'!F73*10000,IF('INGRESO DE DATOS'!E73&lt;10000,'INGRESO DE DATOS'!E73,IF('INGRESO DE DATOS'!E73&gt;=10000,10000,0)))</f>
        <v>0</v>
      </c>
      <c r="I173" s="299">
        <f>IF('INGRESO DE DATOS'!F73&gt;=2,'INGRESO DE DATOS'!F73*3000,IF('INGRESO DE DATOS'!E73&gt;12000,3000,IF('INGRESO DE DATOS'!E73=12000,2000,IF('INGRESO DE DATOS'!E73&lt;12000,0))))</f>
        <v>0</v>
      </c>
      <c r="J173" s="301">
        <f t="shared" ref="J173" si="36">+G173-H173-I173-L173-L174-L175</f>
        <v>0</v>
      </c>
      <c r="K173" s="238"/>
      <c r="L173" s="233"/>
      <c r="M173" s="43"/>
    </row>
    <row r="174" spans="1:80" ht="13.5" customHeight="1" x14ac:dyDescent="0.3">
      <c r="A174" s="279"/>
      <c r="B174" s="137"/>
      <c r="C174" s="226"/>
      <c r="D174" s="280"/>
      <c r="E174" s="281"/>
      <c r="F174" s="320"/>
      <c r="G174" s="283"/>
      <c r="H174" s="317"/>
      <c r="I174" s="286"/>
      <c r="J174" s="287"/>
      <c r="K174" s="239"/>
      <c r="L174" s="234"/>
      <c r="M174" s="43"/>
    </row>
    <row r="175" spans="1:80" ht="13.5" customHeight="1" thickBot="1" x14ac:dyDescent="0.35">
      <c r="A175" s="289"/>
      <c r="B175" s="138"/>
      <c r="C175" s="139"/>
      <c r="D175" s="291"/>
      <c r="E175" s="293"/>
      <c r="F175" s="321"/>
      <c r="G175" s="284"/>
      <c r="H175" s="318"/>
      <c r="I175" s="300"/>
      <c r="J175" s="302"/>
      <c r="K175" s="240"/>
      <c r="L175" s="236"/>
      <c r="M175" s="43"/>
    </row>
    <row r="176" spans="1:80" ht="13.5" customHeight="1" x14ac:dyDescent="0.3">
      <c r="A176" s="279"/>
      <c r="B176" s="137" t="str">
        <f>IF(G176&gt;1,'INGRESO DE DATOS'!$I$9," ")</f>
        <v xml:space="preserve"> </v>
      </c>
      <c r="C176" s="226"/>
      <c r="D176" s="280"/>
      <c r="E176" s="281">
        <f>+'INGRESO DE DATOS'!C74</f>
        <v>0</v>
      </c>
      <c r="F176" s="320">
        <f>+'INGRESO DE DATOS'!D74</f>
        <v>0</v>
      </c>
      <c r="G176" s="283">
        <f>IF('INGRESO DE DATOS'!F74&gt;=2,'INGRESO DE DATOS'!E74*'INGRESO DE DATOS'!F74,IF('INGRESO DE DATOS'!F74&lt;2,'INGRESO DE DATOS'!E74,0))+L176+L177+L178</f>
        <v>0</v>
      </c>
      <c r="H176" s="317">
        <f>IF('INGRESO DE DATOS'!F74&gt;=2,'INGRESO DE DATOS'!F74*10000,IF('INGRESO DE DATOS'!E74&lt;10000,'INGRESO DE DATOS'!E74,IF('INGRESO DE DATOS'!E74&gt;=10000,10000,0)))</f>
        <v>0</v>
      </c>
      <c r="I176" s="286">
        <f>IF('INGRESO DE DATOS'!F74&gt;=2,'INGRESO DE DATOS'!F74*3000,IF('INGRESO DE DATOS'!E74&gt;12000,3000,IF('INGRESO DE DATOS'!E74=12000,2000,IF('INGRESO DE DATOS'!E74&lt;12000,0))))</f>
        <v>0</v>
      </c>
      <c r="J176" s="287">
        <f t="shared" ref="J176" si="37">+G176-H176-I176-L176-L177-L178</f>
        <v>0</v>
      </c>
      <c r="K176" s="243"/>
      <c r="L176" s="235"/>
      <c r="M176" s="43"/>
    </row>
    <row r="177" spans="1:13" ht="13.5" customHeight="1" x14ac:dyDescent="0.3">
      <c r="A177" s="279"/>
      <c r="B177" s="137"/>
      <c r="C177" s="226"/>
      <c r="D177" s="280"/>
      <c r="E177" s="281"/>
      <c r="F177" s="320"/>
      <c r="G177" s="283"/>
      <c r="H177" s="317"/>
      <c r="I177" s="286"/>
      <c r="J177" s="287"/>
      <c r="K177" s="239"/>
      <c r="L177" s="234"/>
      <c r="M177" s="43"/>
    </row>
    <row r="178" spans="1:13" ht="13.5" customHeight="1" thickBot="1" x14ac:dyDescent="0.35">
      <c r="A178" s="279"/>
      <c r="B178" s="137"/>
      <c r="C178" s="226"/>
      <c r="D178" s="280"/>
      <c r="E178" s="281"/>
      <c r="F178" s="320"/>
      <c r="G178" s="283"/>
      <c r="H178" s="317"/>
      <c r="I178" s="286"/>
      <c r="J178" s="287"/>
      <c r="K178" s="241"/>
      <c r="L178" s="242"/>
      <c r="M178" s="43"/>
    </row>
    <row r="179" spans="1:13" ht="13.5" customHeight="1" x14ac:dyDescent="0.3">
      <c r="A179" s="288"/>
      <c r="B179" s="227" t="str">
        <f>IF(G179&gt;1,'INGRESO DE DATOS'!$I$9," ")</f>
        <v xml:space="preserve"> </v>
      </c>
      <c r="C179" s="228"/>
      <c r="D179" s="290"/>
      <c r="E179" s="292">
        <f>+'INGRESO DE DATOS'!C75</f>
        <v>0</v>
      </c>
      <c r="F179" s="319">
        <f>+'INGRESO DE DATOS'!D75</f>
        <v>0</v>
      </c>
      <c r="G179" s="296">
        <f>IF('INGRESO DE DATOS'!F75&gt;=2,'INGRESO DE DATOS'!E75*'INGRESO DE DATOS'!F75,IF('INGRESO DE DATOS'!F75&lt;2,'INGRESO DE DATOS'!E75,0))+L179+L180+L181</f>
        <v>0</v>
      </c>
      <c r="H179" s="316">
        <f>IF('INGRESO DE DATOS'!F75&gt;=2,'INGRESO DE DATOS'!F75*10000,IF('INGRESO DE DATOS'!E75&lt;10000,'INGRESO DE DATOS'!E75,IF('INGRESO DE DATOS'!E75&gt;=10000,10000,0)))</f>
        <v>0</v>
      </c>
      <c r="I179" s="299">
        <f>IF('INGRESO DE DATOS'!F75&gt;=2,'INGRESO DE DATOS'!F75*3000,IF('INGRESO DE DATOS'!E75&gt;12000,3000,IF('INGRESO DE DATOS'!E75=12000,2000,IF('INGRESO DE DATOS'!E75&lt;12000,0))))</f>
        <v>0</v>
      </c>
      <c r="J179" s="301">
        <f t="shared" ref="J179" si="38">+G179-H179-I179-L179-L180-L181</f>
        <v>0</v>
      </c>
      <c r="K179" s="238"/>
      <c r="L179" s="233"/>
      <c r="M179" s="43"/>
    </row>
    <row r="180" spans="1:13" ht="13.5" customHeight="1" x14ac:dyDescent="0.3">
      <c r="A180" s="279"/>
      <c r="B180" s="137"/>
      <c r="C180" s="226"/>
      <c r="D180" s="280"/>
      <c r="E180" s="281"/>
      <c r="F180" s="320"/>
      <c r="G180" s="283"/>
      <c r="H180" s="317"/>
      <c r="I180" s="286"/>
      <c r="J180" s="287"/>
      <c r="K180" s="239"/>
      <c r="L180" s="234"/>
      <c r="M180" s="43"/>
    </row>
    <row r="181" spans="1:13" ht="13.5" customHeight="1" thickBot="1" x14ac:dyDescent="0.35">
      <c r="A181" s="289"/>
      <c r="B181" s="138"/>
      <c r="C181" s="139"/>
      <c r="D181" s="291"/>
      <c r="E181" s="293"/>
      <c r="F181" s="321"/>
      <c r="G181" s="284"/>
      <c r="H181" s="318"/>
      <c r="I181" s="300"/>
      <c r="J181" s="302"/>
      <c r="K181" s="240"/>
      <c r="L181" s="236"/>
      <c r="M181" s="43"/>
    </row>
    <row r="182" spans="1:13" ht="13.5" customHeight="1" x14ac:dyDescent="0.3">
      <c r="A182" s="279"/>
      <c r="B182" s="137" t="str">
        <f>IF(G182&gt;1,'INGRESO DE DATOS'!$I$9," ")</f>
        <v xml:space="preserve"> </v>
      </c>
      <c r="C182" s="226"/>
      <c r="D182" s="280"/>
      <c r="E182" s="281">
        <f>+'INGRESO DE DATOS'!C76</f>
        <v>0</v>
      </c>
      <c r="F182" s="320">
        <f>+'INGRESO DE DATOS'!D76</f>
        <v>0</v>
      </c>
      <c r="G182" s="283">
        <f>IF('INGRESO DE DATOS'!F76&gt;=2,'INGRESO DE DATOS'!E76*'INGRESO DE DATOS'!F76,IF('INGRESO DE DATOS'!F76&lt;2,'INGRESO DE DATOS'!E76,0))+L182+L183+L184</f>
        <v>0</v>
      </c>
      <c r="H182" s="317">
        <f>IF('INGRESO DE DATOS'!F76&gt;=2,'INGRESO DE DATOS'!F76*10000,IF('INGRESO DE DATOS'!E76&lt;10000,'INGRESO DE DATOS'!E76,IF('INGRESO DE DATOS'!E76&gt;=10000,10000,0)))</f>
        <v>0</v>
      </c>
      <c r="I182" s="286">
        <f>IF('INGRESO DE DATOS'!F76&gt;=2,'INGRESO DE DATOS'!F76*3000,IF('INGRESO DE DATOS'!E76&gt;12000,3000,IF('INGRESO DE DATOS'!E76=12000,2000,IF('INGRESO DE DATOS'!E76&lt;12000,0))))</f>
        <v>0</v>
      </c>
      <c r="J182" s="287">
        <f t="shared" ref="J182" si="39">+G182-H182-I182-L182-L183-L184</f>
        <v>0</v>
      </c>
      <c r="K182" s="243"/>
      <c r="L182" s="235"/>
      <c r="M182" s="43"/>
    </row>
    <row r="183" spans="1:13" ht="13.5" customHeight="1" x14ac:dyDescent="0.3">
      <c r="A183" s="279"/>
      <c r="B183" s="137"/>
      <c r="C183" s="226"/>
      <c r="D183" s="280"/>
      <c r="E183" s="281"/>
      <c r="F183" s="320"/>
      <c r="G183" s="283"/>
      <c r="H183" s="317"/>
      <c r="I183" s="286"/>
      <c r="J183" s="287"/>
      <c r="K183" s="239"/>
      <c r="L183" s="234"/>
      <c r="M183" s="43"/>
    </row>
    <row r="184" spans="1:13" ht="13.5" customHeight="1" thickBot="1" x14ac:dyDescent="0.35">
      <c r="A184" s="279"/>
      <c r="B184" s="137"/>
      <c r="C184" s="226"/>
      <c r="D184" s="280"/>
      <c r="E184" s="281"/>
      <c r="F184" s="320"/>
      <c r="G184" s="283"/>
      <c r="H184" s="317"/>
      <c r="I184" s="286"/>
      <c r="J184" s="287"/>
      <c r="K184" s="241"/>
      <c r="L184" s="242"/>
      <c r="M184" s="43"/>
    </row>
    <row r="185" spans="1:13" ht="13.5" customHeight="1" x14ac:dyDescent="0.3">
      <c r="A185" s="288"/>
      <c r="B185" s="227" t="str">
        <f>IF(G185&gt;1,'INGRESO DE DATOS'!$I$9," ")</f>
        <v xml:space="preserve"> </v>
      </c>
      <c r="C185" s="228"/>
      <c r="D185" s="290"/>
      <c r="E185" s="292">
        <f>+'INGRESO DE DATOS'!C77</f>
        <v>0</v>
      </c>
      <c r="F185" s="319">
        <f>+'INGRESO DE DATOS'!D77</f>
        <v>0</v>
      </c>
      <c r="G185" s="296">
        <f>IF('INGRESO DE DATOS'!F77&gt;=2,'INGRESO DE DATOS'!E77*'INGRESO DE DATOS'!F77,IF('INGRESO DE DATOS'!F77&lt;2,'INGRESO DE DATOS'!E77,0))+L185+L186+L187</f>
        <v>0</v>
      </c>
      <c r="H185" s="316">
        <f>IF('INGRESO DE DATOS'!F77&gt;=2,'INGRESO DE DATOS'!F77*10000,IF('INGRESO DE DATOS'!E77&lt;10000,'INGRESO DE DATOS'!E77,IF('INGRESO DE DATOS'!E77&gt;=10000,10000,0)))</f>
        <v>0</v>
      </c>
      <c r="I185" s="299">
        <f>IF('INGRESO DE DATOS'!F77&gt;=2,'INGRESO DE DATOS'!F77*3000,IF('INGRESO DE DATOS'!E77&gt;12000,3000,IF('INGRESO DE DATOS'!E77=12000,2000,IF('INGRESO DE DATOS'!E77&lt;12000,0))))</f>
        <v>0</v>
      </c>
      <c r="J185" s="301">
        <f t="shared" ref="J185" si="40">+G185-H185-I185-L185-L186-L187</f>
        <v>0</v>
      </c>
      <c r="K185" s="238"/>
      <c r="L185" s="233"/>
      <c r="M185" s="43"/>
    </row>
    <row r="186" spans="1:13" ht="13.5" customHeight="1" x14ac:dyDescent="0.3">
      <c r="A186" s="279"/>
      <c r="B186" s="137"/>
      <c r="C186" s="226"/>
      <c r="D186" s="280"/>
      <c r="E186" s="281"/>
      <c r="F186" s="320"/>
      <c r="G186" s="283"/>
      <c r="H186" s="317"/>
      <c r="I186" s="286"/>
      <c r="J186" s="287"/>
      <c r="K186" s="239"/>
      <c r="L186" s="234"/>
      <c r="M186" s="43"/>
    </row>
    <row r="187" spans="1:13" ht="13.5" customHeight="1" thickBot="1" x14ac:dyDescent="0.35">
      <c r="A187" s="289"/>
      <c r="B187" s="138"/>
      <c r="C187" s="139"/>
      <c r="D187" s="291"/>
      <c r="E187" s="293"/>
      <c r="F187" s="321"/>
      <c r="G187" s="284"/>
      <c r="H187" s="318"/>
      <c r="I187" s="300"/>
      <c r="J187" s="302"/>
      <c r="K187" s="240"/>
      <c r="L187" s="236"/>
      <c r="M187" s="43"/>
    </row>
    <row r="188" spans="1:13" ht="13.5" customHeight="1" x14ac:dyDescent="0.3">
      <c r="A188" s="279"/>
      <c r="B188" s="137" t="str">
        <f>IF(G188&gt;1,'INGRESO DE DATOS'!$I$9," ")</f>
        <v xml:space="preserve"> </v>
      </c>
      <c r="C188" s="226"/>
      <c r="D188" s="280"/>
      <c r="E188" s="281">
        <f>+'INGRESO DE DATOS'!C78</f>
        <v>0</v>
      </c>
      <c r="F188" s="320">
        <f>+'INGRESO DE DATOS'!D78</f>
        <v>0</v>
      </c>
      <c r="G188" s="283">
        <f>IF('INGRESO DE DATOS'!F78&gt;=2,'INGRESO DE DATOS'!E78*'INGRESO DE DATOS'!F78,IF('INGRESO DE DATOS'!F78&lt;2,'INGRESO DE DATOS'!E78,0))+L188+L189+L190</f>
        <v>0</v>
      </c>
      <c r="H188" s="317">
        <f>IF('INGRESO DE DATOS'!F78&gt;=2,'INGRESO DE DATOS'!F78*10000,IF('INGRESO DE DATOS'!E78&lt;10000,'INGRESO DE DATOS'!E78,IF('INGRESO DE DATOS'!E78&gt;=10000,10000,0)))</f>
        <v>0</v>
      </c>
      <c r="I188" s="286">
        <f>IF('INGRESO DE DATOS'!F78&gt;=2,'INGRESO DE DATOS'!F78*3000,IF('INGRESO DE DATOS'!E78&gt;12000,3000,IF('INGRESO DE DATOS'!E78=12000,2000,IF('INGRESO DE DATOS'!E78&lt;12000,0))))</f>
        <v>0</v>
      </c>
      <c r="J188" s="287">
        <f t="shared" ref="J188" si="41">+G188-H188-I188-L188-L189-L190</f>
        <v>0</v>
      </c>
      <c r="K188" s="243"/>
      <c r="L188" s="235"/>
      <c r="M188" s="43"/>
    </row>
    <row r="189" spans="1:13" ht="13.5" customHeight="1" x14ac:dyDescent="0.3">
      <c r="A189" s="279"/>
      <c r="B189" s="137"/>
      <c r="C189" s="226"/>
      <c r="D189" s="280"/>
      <c r="E189" s="281"/>
      <c r="F189" s="320"/>
      <c r="G189" s="283"/>
      <c r="H189" s="317"/>
      <c r="I189" s="286"/>
      <c r="J189" s="287"/>
      <c r="K189" s="239"/>
      <c r="L189" s="234"/>
      <c r="M189" s="43"/>
    </row>
    <row r="190" spans="1:13" ht="13.5" customHeight="1" thickBot="1" x14ac:dyDescent="0.35">
      <c r="A190" s="279"/>
      <c r="B190" s="137"/>
      <c r="C190" s="226"/>
      <c r="D190" s="280"/>
      <c r="E190" s="281"/>
      <c r="F190" s="320"/>
      <c r="G190" s="283"/>
      <c r="H190" s="317"/>
      <c r="I190" s="286"/>
      <c r="J190" s="287"/>
      <c r="K190" s="241"/>
      <c r="L190" s="242"/>
      <c r="M190" s="43"/>
    </row>
    <row r="191" spans="1:13" ht="13.5" customHeight="1" x14ac:dyDescent="0.3">
      <c r="A191" s="288"/>
      <c r="B191" s="227" t="str">
        <f>IF(G191&gt;1,'INGRESO DE DATOS'!$I$9," ")</f>
        <v xml:space="preserve"> </v>
      </c>
      <c r="C191" s="228"/>
      <c r="D191" s="290"/>
      <c r="E191" s="292">
        <f>+'INGRESO DE DATOS'!C79</f>
        <v>0</v>
      </c>
      <c r="F191" s="319">
        <f>+'INGRESO DE DATOS'!D79</f>
        <v>0</v>
      </c>
      <c r="G191" s="296">
        <f>IF('INGRESO DE DATOS'!F79&gt;=2,'INGRESO DE DATOS'!E79*'INGRESO DE DATOS'!F79,IF('INGRESO DE DATOS'!F79&lt;2,'INGRESO DE DATOS'!E79,0))+L191+L192+L193</f>
        <v>0</v>
      </c>
      <c r="H191" s="316">
        <f>IF('INGRESO DE DATOS'!F79&gt;=2,'INGRESO DE DATOS'!F79*10000,IF('INGRESO DE DATOS'!E79&lt;10000,'INGRESO DE DATOS'!E79,IF('INGRESO DE DATOS'!E79&gt;=10000,10000,0)))</f>
        <v>0</v>
      </c>
      <c r="I191" s="299">
        <f>IF('INGRESO DE DATOS'!F79&gt;=2,'INGRESO DE DATOS'!F79*3000,IF('INGRESO DE DATOS'!E79&gt;12000,3000,IF('INGRESO DE DATOS'!E79=12000,2000,IF('INGRESO DE DATOS'!E79&lt;12000,0))))</f>
        <v>0</v>
      </c>
      <c r="J191" s="301">
        <f t="shared" ref="J191" si="42">+G191-H191-I191-L191-L192-L193</f>
        <v>0</v>
      </c>
      <c r="K191" s="238"/>
      <c r="L191" s="233"/>
      <c r="M191" s="43"/>
    </row>
    <row r="192" spans="1:13" ht="13.5" customHeight="1" x14ac:dyDescent="0.3">
      <c r="A192" s="279"/>
      <c r="B192" s="137"/>
      <c r="C192" s="226"/>
      <c r="D192" s="280"/>
      <c r="E192" s="281"/>
      <c r="F192" s="320"/>
      <c r="G192" s="283"/>
      <c r="H192" s="317"/>
      <c r="I192" s="286"/>
      <c r="J192" s="287"/>
      <c r="K192" s="239"/>
      <c r="L192" s="234"/>
      <c r="M192" s="43"/>
    </row>
    <row r="193" spans="1:13" ht="13.5" customHeight="1" thickBot="1" x14ac:dyDescent="0.35">
      <c r="A193" s="289"/>
      <c r="B193" s="138"/>
      <c r="C193" s="139"/>
      <c r="D193" s="291"/>
      <c r="E193" s="293"/>
      <c r="F193" s="321"/>
      <c r="G193" s="284"/>
      <c r="H193" s="318"/>
      <c r="I193" s="300"/>
      <c r="J193" s="302"/>
      <c r="K193" s="240"/>
      <c r="L193" s="236"/>
      <c r="M193" s="43"/>
    </row>
    <row r="194" spans="1:13" ht="13.5" customHeight="1" x14ac:dyDescent="0.3">
      <c r="A194" s="279"/>
      <c r="B194" s="137" t="str">
        <f>IF(G194&gt;1,'INGRESO DE DATOS'!$I$9," ")</f>
        <v xml:space="preserve"> </v>
      </c>
      <c r="C194" s="226"/>
      <c r="D194" s="280"/>
      <c r="E194" s="281">
        <f>+'INGRESO DE DATOS'!C80</f>
        <v>0</v>
      </c>
      <c r="F194" s="320">
        <f>+'INGRESO DE DATOS'!D80</f>
        <v>0</v>
      </c>
      <c r="G194" s="283">
        <f>IF('INGRESO DE DATOS'!F80&gt;=2,'INGRESO DE DATOS'!E80*'INGRESO DE DATOS'!F80,IF('INGRESO DE DATOS'!F80&lt;2,'INGRESO DE DATOS'!E80,0))+L194+L195+L196</f>
        <v>0</v>
      </c>
      <c r="H194" s="317">
        <f>IF('INGRESO DE DATOS'!F80&gt;=2,'INGRESO DE DATOS'!F80*10000,IF('INGRESO DE DATOS'!E80&lt;10000,'INGRESO DE DATOS'!E80,IF('INGRESO DE DATOS'!E80&gt;=10000,10000,0)))</f>
        <v>0</v>
      </c>
      <c r="I194" s="286">
        <f>IF('INGRESO DE DATOS'!F80&gt;=2,'INGRESO DE DATOS'!F80*3000,IF('INGRESO DE DATOS'!E80&gt;12000,3000,IF('INGRESO DE DATOS'!E80=12000,2000,IF('INGRESO DE DATOS'!E80&lt;12000,0))))</f>
        <v>0</v>
      </c>
      <c r="J194" s="287">
        <f t="shared" ref="J194" si="43">+G194-H194-I194-L194-L195-L196</f>
        <v>0</v>
      </c>
      <c r="K194" s="243"/>
      <c r="L194" s="235"/>
      <c r="M194" s="43"/>
    </row>
    <row r="195" spans="1:13" ht="13.5" customHeight="1" x14ac:dyDescent="0.3">
      <c r="A195" s="279"/>
      <c r="B195" s="137"/>
      <c r="C195" s="226"/>
      <c r="D195" s="280"/>
      <c r="E195" s="281"/>
      <c r="F195" s="320"/>
      <c r="G195" s="283"/>
      <c r="H195" s="317"/>
      <c r="I195" s="286"/>
      <c r="J195" s="287"/>
      <c r="K195" s="239"/>
      <c r="L195" s="234"/>
      <c r="M195" s="43"/>
    </row>
    <row r="196" spans="1:13" ht="13.5" customHeight="1" thickBot="1" x14ac:dyDescent="0.35">
      <c r="A196" s="279"/>
      <c r="B196" s="137"/>
      <c r="C196" s="226"/>
      <c r="D196" s="280"/>
      <c r="E196" s="281"/>
      <c r="F196" s="320"/>
      <c r="G196" s="283"/>
      <c r="H196" s="317"/>
      <c r="I196" s="286"/>
      <c r="J196" s="287"/>
      <c r="K196" s="241"/>
      <c r="L196" s="242"/>
      <c r="M196" s="43"/>
    </row>
    <row r="197" spans="1:13" ht="13.5" customHeight="1" x14ac:dyDescent="0.3">
      <c r="A197" s="288"/>
      <c r="B197" s="227" t="str">
        <f>IF(G197&gt;1,'INGRESO DE DATOS'!$I$9," ")</f>
        <v xml:space="preserve"> </v>
      </c>
      <c r="C197" s="228"/>
      <c r="D197" s="290"/>
      <c r="E197" s="292">
        <f>+'INGRESO DE DATOS'!C81</f>
        <v>0</v>
      </c>
      <c r="F197" s="319">
        <f>+'INGRESO DE DATOS'!D81</f>
        <v>0</v>
      </c>
      <c r="G197" s="296">
        <f>IF('INGRESO DE DATOS'!F81&gt;=2,'INGRESO DE DATOS'!E81*'INGRESO DE DATOS'!F81,IF('INGRESO DE DATOS'!F81&lt;2,'INGRESO DE DATOS'!E81,0))+L197+L198+L199</f>
        <v>0</v>
      </c>
      <c r="H197" s="316">
        <f>IF('INGRESO DE DATOS'!F81&gt;=2,'INGRESO DE DATOS'!F81*10000,IF('INGRESO DE DATOS'!E81&lt;10000,'INGRESO DE DATOS'!E81,IF('INGRESO DE DATOS'!E81&gt;=10000,10000,0)))</f>
        <v>0</v>
      </c>
      <c r="I197" s="299">
        <f>IF('INGRESO DE DATOS'!F81&gt;=2,'INGRESO DE DATOS'!F81*3000,IF('INGRESO DE DATOS'!E81&gt;12000,3000,IF('INGRESO DE DATOS'!E81=12000,2000,IF('INGRESO DE DATOS'!E81&lt;12000,0))))</f>
        <v>0</v>
      </c>
      <c r="J197" s="301">
        <f t="shared" ref="J197" si="44">+G197-H197-I197-L197-L198-L199</f>
        <v>0</v>
      </c>
      <c r="K197" s="238"/>
      <c r="L197" s="233"/>
      <c r="M197" s="43"/>
    </row>
    <row r="198" spans="1:13" ht="13.5" customHeight="1" x14ac:dyDescent="0.3">
      <c r="A198" s="279"/>
      <c r="B198" s="137"/>
      <c r="C198" s="226"/>
      <c r="D198" s="280"/>
      <c r="E198" s="281"/>
      <c r="F198" s="320"/>
      <c r="G198" s="283"/>
      <c r="H198" s="317"/>
      <c r="I198" s="286"/>
      <c r="J198" s="287"/>
      <c r="K198" s="239"/>
      <c r="L198" s="234"/>
      <c r="M198" s="43"/>
    </row>
    <row r="199" spans="1:13" ht="13.5" customHeight="1" thickBot="1" x14ac:dyDescent="0.35">
      <c r="A199" s="289"/>
      <c r="B199" s="138"/>
      <c r="C199" s="139"/>
      <c r="D199" s="291"/>
      <c r="E199" s="293"/>
      <c r="F199" s="321"/>
      <c r="G199" s="284"/>
      <c r="H199" s="318"/>
      <c r="I199" s="300"/>
      <c r="J199" s="302"/>
      <c r="K199" s="240"/>
      <c r="L199" s="236"/>
      <c r="M199" s="43"/>
    </row>
    <row r="200" spans="1:13" ht="13.5" customHeight="1" x14ac:dyDescent="0.3">
      <c r="A200" s="279"/>
      <c r="B200" s="137" t="str">
        <f>IF(G200&gt;1,'INGRESO DE DATOS'!$I$9," ")</f>
        <v xml:space="preserve"> </v>
      </c>
      <c r="C200" s="226"/>
      <c r="D200" s="280"/>
      <c r="E200" s="281">
        <f>+'INGRESO DE DATOS'!C82</f>
        <v>0</v>
      </c>
      <c r="F200" s="320">
        <f>+'INGRESO DE DATOS'!D82</f>
        <v>0</v>
      </c>
      <c r="G200" s="283">
        <f>IF('INGRESO DE DATOS'!F82&gt;=2,'INGRESO DE DATOS'!E82*'INGRESO DE DATOS'!F82,IF('INGRESO DE DATOS'!F82&lt;2,'INGRESO DE DATOS'!E82,0))+L200+L201+L202</f>
        <v>0</v>
      </c>
      <c r="H200" s="317">
        <f>IF('INGRESO DE DATOS'!F82&gt;=2,'INGRESO DE DATOS'!F82*10000,IF('INGRESO DE DATOS'!E82&lt;10000,'INGRESO DE DATOS'!E82,IF('INGRESO DE DATOS'!E82&gt;=10000,10000,0)))</f>
        <v>0</v>
      </c>
      <c r="I200" s="286">
        <f>IF('INGRESO DE DATOS'!F82&gt;=2,'INGRESO DE DATOS'!F82*3000,IF('INGRESO DE DATOS'!E82&gt;12000,3000,IF('INGRESO DE DATOS'!E82=12000,2000,IF('INGRESO DE DATOS'!E82&lt;12000,0))))</f>
        <v>0</v>
      </c>
      <c r="J200" s="287">
        <f t="shared" ref="J200" si="45">+G200-H200-I200-L200-L201-L202</f>
        <v>0</v>
      </c>
      <c r="K200" s="243"/>
      <c r="L200" s="235"/>
      <c r="M200" s="43"/>
    </row>
    <row r="201" spans="1:13" ht="13.5" customHeight="1" x14ac:dyDescent="0.3">
      <c r="A201" s="279"/>
      <c r="B201" s="137"/>
      <c r="C201" s="226"/>
      <c r="D201" s="280"/>
      <c r="E201" s="281"/>
      <c r="F201" s="320"/>
      <c r="G201" s="283"/>
      <c r="H201" s="317"/>
      <c r="I201" s="286"/>
      <c r="J201" s="287"/>
      <c r="K201" s="239"/>
      <c r="L201" s="234"/>
      <c r="M201" s="43"/>
    </row>
    <row r="202" spans="1:13" ht="13.5" customHeight="1" thickBot="1" x14ac:dyDescent="0.35">
      <c r="A202" s="279"/>
      <c r="B202" s="137"/>
      <c r="C202" s="226"/>
      <c r="D202" s="280"/>
      <c r="E202" s="281"/>
      <c r="F202" s="320"/>
      <c r="G202" s="283"/>
      <c r="H202" s="317"/>
      <c r="I202" s="286"/>
      <c r="J202" s="287"/>
      <c r="K202" s="241"/>
      <c r="L202" s="242"/>
      <c r="M202" s="43"/>
    </row>
    <row r="203" spans="1:13" ht="13.5" customHeight="1" x14ac:dyDescent="0.3">
      <c r="A203" s="288"/>
      <c r="B203" s="227" t="str">
        <f>IF(G203&gt;1,'INGRESO DE DATOS'!$I$9," ")</f>
        <v xml:space="preserve"> </v>
      </c>
      <c r="C203" s="228"/>
      <c r="D203" s="290"/>
      <c r="E203" s="292">
        <f>+'INGRESO DE DATOS'!C83</f>
        <v>0</v>
      </c>
      <c r="F203" s="319">
        <f>+'INGRESO DE DATOS'!D83</f>
        <v>0</v>
      </c>
      <c r="G203" s="296">
        <f>IF('INGRESO DE DATOS'!F83&gt;=2,'INGRESO DE DATOS'!E83*'INGRESO DE DATOS'!F83,IF('INGRESO DE DATOS'!F83&lt;2,'INGRESO DE DATOS'!E83,0))+L203+L204+L205</f>
        <v>0</v>
      </c>
      <c r="H203" s="316">
        <f>IF('INGRESO DE DATOS'!F83&gt;=2,'INGRESO DE DATOS'!F83*10000,IF('INGRESO DE DATOS'!E83&lt;10000,'INGRESO DE DATOS'!E83,IF('INGRESO DE DATOS'!E83&gt;=10000,10000,0)))</f>
        <v>0</v>
      </c>
      <c r="I203" s="299">
        <f>IF('INGRESO DE DATOS'!F83&gt;=2,'INGRESO DE DATOS'!F83*3000,IF('INGRESO DE DATOS'!E83&gt;12000,3000,IF('INGRESO DE DATOS'!E83=12000,2000,IF('INGRESO DE DATOS'!E83&lt;12000,0))))</f>
        <v>0</v>
      </c>
      <c r="J203" s="301">
        <f t="shared" ref="J203" si="46">+G203-H203-I203-L203-L204-L205</f>
        <v>0</v>
      </c>
      <c r="K203" s="238"/>
      <c r="L203" s="233"/>
      <c r="M203" s="43"/>
    </row>
    <row r="204" spans="1:13" ht="13.5" customHeight="1" x14ac:dyDescent="0.3">
      <c r="A204" s="279"/>
      <c r="B204" s="137"/>
      <c r="C204" s="226"/>
      <c r="D204" s="280"/>
      <c r="E204" s="281"/>
      <c r="F204" s="320"/>
      <c r="G204" s="283"/>
      <c r="H204" s="317"/>
      <c r="I204" s="286"/>
      <c r="J204" s="287"/>
      <c r="K204" s="239"/>
      <c r="L204" s="234"/>
      <c r="M204" s="43"/>
    </row>
    <row r="205" spans="1:13" ht="13.5" customHeight="1" thickBot="1" x14ac:dyDescent="0.35">
      <c r="A205" s="289"/>
      <c r="B205" s="138"/>
      <c r="C205" s="139"/>
      <c r="D205" s="291"/>
      <c r="E205" s="293"/>
      <c r="F205" s="321"/>
      <c r="G205" s="284"/>
      <c r="H205" s="318"/>
      <c r="I205" s="300"/>
      <c r="J205" s="302"/>
      <c r="K205" s="240"/>
      <c r="L205" s="236"/>
      <c r="M205" s="43"/>
    </row>
    <row r="206" spans="1:13" ht="13.5" customHeight="1" x14ac:dyDescent="0.3">
      <c r="A206" s="279"/>
      <c r="B206" s="137" t="str">
        <f>IF(G206&gt;1,'INGRESO DE DATOS'!$I$9," ")</f>
        <v xml:space="preserve"> </v>
      </c>
      <c r="C206" s="226"/>
      <c r="D206" s="280"/>
      <c r="E206" s="281">
        <f>+'INGRESO DE DATOS'!C84</f>
        <v>0</v>
      </c>
      <c r="F206" s="320">
        <f>+'INGRESO DE DATOS'!D84</f>
        <v>0</v>
      </c>
      <c r="G206" s="283">
        <f>IF('INGRESO DE DATOS'!F84&gt;=2,'INGRESO DE DATOS'!E84*'INGRESO DE DATOS'!F84,IF('INGRESO DE DATOS'!F84&lt;2,'INGRESO DE DATOS'!E84,0))+L206+L207+L208</f>
        <v>0</v>
      </c>
      <c r="H206" s="317">
        <f>IF('INGRESO DE DATOS'!F84&gt;=2,'INGRESO DE DATOS'!F84*10000,IF('INGRESO DE DATOS'!E84&lt;10000,'INGRESO DE DATOS'!E84,IF('INGRESO DE DATOS'!E84&gt;=10000,10000,0)))</f>
        <v>0</v>
      </c>
      <c r="I206" s="286">
        <f>IF('INGRESO DE DATOS'!F84&gt;=2,'INGRESO DE DATOS'!F84*3000,IF('INGRESO DE DATOS'!E84&gt;12000,3000,IF('INGRESO DE DATOS'!E84=12000,2000,IF('INGRESO DE DATOS'!E84&lt;12000,0))))</f>
        <v>0</v>
      </c>
      <c r="J206" s="287">
        <f t="shared" ref="J206" si="47">+G206-H206-I206-L206-L207-L208</f>
        <v>0</v>
      </c>
      <c r="K206" s="243"/>
      <c r="L206" s="235"/>
      <c r="M206" s="43"/>
    </row>
    <row r="207" spans="1:13" ht="13.5" customHeight="1" x14ac:dyDescent="0.3">
      <c r="A207" s="279"/>
      <c r="B207" s="137"/>
      <c r="C207" s="226"/>
      <c r="D207" s="280"/>
      <c r="E207" s="281"/>
      <c r="F207" s="320"/>
      <c r="G207" s="283"/>
      <c r="H207" s="317"/>
      <c r="I207" s="286"/>
      <c r="J207" s="287"/>
      <c r="K207" s="239"/>
      <c r="L207" s="234"/>
      <c r="M207" s="43"/>
    </row>
    <row r="208" spans="1:13" ht="13.5" customHeight="1" thickBot="1" x14ac:dyDescent="0.35">
      <c r="A208" s="279"/>
      <c r="B208" s="137"/>
      <c r="C208" s="226"/>
      <c r="D208" s="280"/>
      <c r="E208" s="281"/>
      <c r="F208" s="320"/>
      <c r="G208" s="283"/>
      <c r="H208" s="317"/>
      <c r="I208" s="286"/>
      <c r="J208" s="287"/>
      <c r="K208" s="241"/>
      <c r="L208" s="242"/>
      <c r="M208" s="43"/>
    </row>
    <row r="209" spans="1:13" ht="13.5" customHeight="1" x14ac:dyDescent="0.3">
      <c r="A209" s="288"/>
      <c r="B209" s="227" t="str">
        <f>IF(G209&gt;1,'INGRESO DE DATOS'!$I$9," ")</f>
        <v xml:space="preserve"> </v>
      </c>
      <c r="C209" s="228"/>
      <c r="D209" s="290"/>
      <c r="E209" s="292">
        <f>+'INGRESO DE DATOS'!C85</f>
        <v>0</v>
      </c>
      <c r="F209" s="319">
        <f>+'INGRESO DE DATOS'!D85</f>
        <v>0</v>
      </c>
      <c r="G209" s="296">
        <f>IF('INGRESO DE DATOS'!F85&gt;=2,'INGRESO DE DATOS'!E85*'INGRESO DE DATOS'!F85,IF('INGRESO DE DATOS'!F85&lt;2,'INGRESO DE DATOS'!E85,0))+L209+L210+L211</f>
        <v>0</v>
      </c>
      <c r="H209" s="316">
        <f>IF('INGRESO DE DATOS'!F85&gt;=2,'INGRESO DE DATOS'!F85*10000,IF('INGRESO DE DATOS'!E85&lt;10000,'INGRESO DE DATOS'!E85,IF('INGRESO DE DATOS'!E85&gt;=10000,10000,0)))</f>
        <v>0</v>
      </c>
      <c r="I209" s="299">
        <f>IF('INGRESO DE DATOS'!F85&gt;=2,'INGRESO DE DATOS'!F85*3000,IF('INGRESO DE DATOS'!E85&gt;12000,3000,IF('INGRESO DE DATOS'!E85=12000,2000,IF('INGRESO DE DATOS'!E85&lt;12000,0))))</f>
        <v>0</v>
      </c>
      <c r="J209" s="301">
        <f t="shared" ref="J209" si="48">+G209-H209-I209-L209-L210-L211</f>
        <v>0</v>
      </c>
      <c r="K209" s="238"/>
      <c r="L209" s="233"/>
      <c r="M209" s="43"/>
    </row>
    <row r="210" spans="1:13" ht="13.5" customHeight="1" x14ac:dyDescent="0.3">
      <c r="A210" s="279"/>
      <c r="B210" s="137"/>
      <c r="C210" s="226"/>
      <c r="D210" s="280"/>
      <c r="E210" s="281"/>
      <c r="F210" s="320"/>
      <c r="G210" s="283"/>
      <c r="H210" s="317"/>
      <c r="I210" s="286"/>
      <c r="J210" s="287"/>
      <c r="K210" s="239"/>
      <c r="L210" s="234"/>
      <c r="M210" s="43"/>
    </row>
    <row r="211" spans="1:13" ht="13.5" customHeight="1" thickBot="1" x14ac:dyDescent="0.35">
      <c r="A211" s="289"/>
      <c r="B211" s="138"/>
      <c r="C211" s="139"/>
      <c r="D211" s="291"/>
      <c r="E211" s="293"/>
      <c r="F211" s="321"/>
      <c r="G211" s="284"/>
      <c r="H211" s="318"/>
      <c r="I211" s="300"/>
      <c r="J211" s="302"/>
      <c r="K211" s="240"/>
      <c r="L211" s="236"/>
      <c r="M211" s="43"/>
    </row>
    <row r="212" spans="1:13" ht="13.5" customHeight="1" x14ac:dyDescent="0.3">
      <c r="A212" s="279"/>
      <c r="B212" s="137" t="str">
        <f>IF(G212&gt;1,'INGRESO DE DATOS'!$I$9," ")</f>
        <v xml:space="preserve"> </v>
      </c>
      <c r="C212" s="226"/>
      <c r="D212" s="280"/>
      <c r="E212" s="281">
        <f>+'INGRESO DE DATOS'!C86</f>
        <v>0</v>
      </c>
      <c r="F212" s="320">
        <f>+'INGRESO DE DATOS'!D86</f>
        <v>0</v>
      </c>
      <c r="G212" s="283">
        <f>IF('INGRESO DE DATOS'!F86&gt;=2,'INGRESO DE DATOS'!E86*'INGRESO DE DATOS'!F86,IF('INGRESO DE DATOS'!F86&lt;2,'INGRESO DE DATOS'!E86,0))+L212+L213+L214</f>
        <v>0</v>
      </c>
      <c r="H212" s="317">
        <f>IF('INGRESO DE DATOS'!F86&gt;=2,'INGRESO DE DATOS'!F86*10000,IF('INGRESO DE DATOS'!E86&lt;10000,'INGRESO DE DATOS'!E86,IF('INGRESO DE DATOS'!E86&gt;=10000,10000,0)))</f>
        <v>0</v>
      </c>
      <c r="I212" s="286">
        <f>IF('INGRESO DE DATOS'!F86&gt;=2,'INGRESO DE DATOS'!F86*3000,IF('INGRESO DE DATOS'!E86&gt;12000,3000,IF('INGRESO DE DATOS'!E86=12000,2000,IF('INGRESO DE DATOS'!E86&lt;12000,0))))</f>
        <v>0</v>
      </c>
      <c r="J212" s="287">
        <f t="shared" ref="J212" si="49">+G212-H212-I212-L212-L213-L214</f>
        <v>0</v>
      </c>
      <c r="K212" s="243"/>
      <c r="L212" s="235"/>
      <c r="M212" s="43"/>
    </row>
    <row r="213" spans="1:13" ht="13.5" customHeight="1" x14ac:dyDescent="0.3">
      <c r="A213" s="279"/>
      <c r="B213" s="137"/>
      <c r="C213" s="226"/>
      <c r="D213" s="280"/>
      <c r="E213" s="281"/>
      <c r="F213" s="320"/>
      <c r="G213" s="283"/>
      <c r="H213" s="317"/>
      <c r="I213" s="286"/>
      <c r="J213" s="287"/>
      <c r="K213" s="239"/>
      <c r="L213" s="234"/>
      <c r="M213" s="43"/>
    </row>
    <row r="214" spans="1:13" ht="13.5" customHeight="1" thickBot="1" x14ac:dyDescent="0.35">
      <c r="A214" s="279"/>
      <c r="B214" s="137"/>
      <c r="C214" s="226"/>
      <c r="D214" s="280"/>
      <c r="E214" s="281"/>
      <c r="F214" s="320"/>
      <c r="G214" s="283"/>
      <c r="H214" s="317"/>
      <c r="I214" s="286"/>
      <c r="J214" s="287"/>
      <c r="K214" s="241"/>
      <c r="L214" s="242"/>
      <c r="M214" s="43"/>
    </row>
    <row r="215" spans="1:13" ht="13.5" customHeight="1" x14ac:dyDescent="0.3">
      <c r="A215" s="288"/>
      <c r="B215" s="227" t="str">
        <f>IF(G215&gt;1,'INGRESO DE DATOS'!$I$9," ")</f>
        <v xml:space="preserve"> </v>
      </c>
      <c r="C215" s="228"/>
      <c r="D215" s="290"/>
      <c r="E215" s="292">
        <f>+'INGRESO DE DATOS'!C87</f>
        <v>0</v>
      </c>
      <c r="F215" s="319">
        <f>+'INGRESO DE DATOS'!D87</f>
        <v>0</v>
      </c>
      <c r="G215" s="296">
        <f>IF('INGRESO DE DATOS'!F87&gt;=2,'INGRESO DE DATOS'!E87*'INGRESO DE DATOS'!F87,IF('INGRESO DE DATOS'!F87&lt;2,'INGRESO DE DATOS'!E87,0))+L215+L216+L217</f>
        <v>0</v>
      </c>
      <c r="H215" s="316">
        <f>IF('INGRESO DE DATOS'!F87&gt;=2,'INGRESO DE DATOS'!F87*10000,IF('INGRESO DE DATOS'!E87&lt;10000,'INGRESO DE DATOS'!E87,IF('INGRESO DE DATOS'!E87&gt;=10000,10000,0)))</f>
        <v>0</v>
      </c>
      <c r="I215" s="299">
        <f>IF('INGRESO DE DATOS'!F87&gt;=2,'INGRESO DE DATOS'!F87*3000,IF('INGRESO DE DATOS'!E87&gt;12000,3000,IF('INGRESO DE DATOS'!E87=12000,2000,IF('INGRESO DE DATOS'!E87&lt;12000,0))))</f>
        <v>0</v>
      </c>
      <c r="J215" s="301">
        <f t="shared" ref="J215" si="50">+G215-H215-I215-L215-L216-L217</f>
        <v>0</v>
      </c>
      <c r="K215" s="238"/>
      <c r="L215" s="233"/>
      <c r="M215" s="43"/>
    </row>
    <row r="216" spans="1:13" ht="13.5" customHeight="1" x14ac:dyDescent="0.3">
      <c r="A216" s="279"/>
      <c r="B216" s="137"/>
      <c r="C216" s="226"/>
      <c r="D216" s="280"/>
      <c r="E216" s="281"/>
      <c r="F216" s="320"/>
      <c r="G216" s="283"/>
      <c r="H216" s="317"/>
      <c r="I216" s="286"/>
      <c r="J216" s="287"/>
      <c r="K216" s="239"/>
      <c r="L216" s="234"/>
      <c r="M216" s="43"/>
    </row>
    <row r="217" spans="1:13" ht="13.5" customHeight="1" thickBot="1" x14ac:dyDescent="0.35">
      <c r="A217" s="289"/>
      <c r="B217" s="138"/>
      <c r="C217" s="139"/>
      <c r="D217" s="291"/>
      <c r="E217" s="293"/>
      <c r="F217" s="321"/>
      <c r="G217" s="284"/>
      <c r="H217" s="318"/>
      <c r="I217" s="300"/>
      <c r="J217" s="302"/>
      <c r="K217" s="240"/>
      <c r="L217" s="236"/>
      <c r="M217" s="43"/>
    </row>
    <row r="218" spans="1:13" ht="13.5" customHeight="1" x14ac:dyDescent="0.3">
      <c r="A218" s="279"/>
      <c r="B218" s="137" t="str">
        <f>IF(G218&gt;1,'INGRESO DE DATOS'!$I$9," ")</f>
        <v xml:space="preserve"> </v>
      </c>
      <c r="C218" s="226"/>
      <c r="D218" s="280"/>
      <c r="E218" s="281">
        <f>+'INGRESO DE DATOS'!C88</f>
        <v>0</v>
      </c>
      <c r="F218" s="320">
        <f>+'INGRESO DE DATOS'!D88</f>
        <v>0</v>
      </c>
      <c r="G218" s="283">
        <f>IF('INGRESO DE DATOS'!F88&gt;=2,'INGRESO DE DATOS'!E88*'INGRESO DE DATOS'!F88,IF('INGRESO DE DATOS'!F88&lt;2,'INGRESO DE DATOS'!E88,0))+L218+L219+L220</f>
        <v>0</v>
      </c>
      <c r="H218" s="317">
        <f>IF('INGRESO DE DATOS'!F88&gt;=2,'INGRESO DE DATOS'!F88*10000,IF('INGRESO DE DATOS'!E88&lt;10000,'INGRESO DE DATOS'!E88,IF('INGRESO DE DATOS'!E88&gt;=10000,10000,0)))</f>
        <v>0</v>
      </c>
      <c r="I218" s="286">
        <f>IF('INGRESO DE DATOS'!F88&gt;=2,'INGRESO DE DATOS'!F88*3000,IF('INGRESO DE DATOS'!E88&gt;12000,3000,IF('INGRESO DE DATOS'!E88=12000,2000,IF('INGRESO DE DATOS'!E88&lt;12000,0))))</f>
        <v>0</v>
      </c>
      <c r="J218" s="287">
        <f t="shared" ref="J218" si="51">+G218-H218-I218-L218-L219-L220</f>
        <v>0</v>
      </c>
      <c r="K218" s="243"/>
      <c r="L218" s="235"/>
      <c r="M218" s="43"/>
    </row>
    <row r="219" spans="1:13" ht="13.5" customHeight="1" x14ac:dyDescent="0.3">
      <c r="A219" s="279"/>
      <c r="B219" s="137"/>
      <c r="C219" s="226"/>
      <c r="D219" s="280"/>
      <c r="E219" s="281"/>
      <c r="F219" s="320"/>
      <c r="G219" s="283"/>
      <c r="H219" s="317"/>
      <c r="I219" s="286"/>
      <c r="J219" s="287"/>
      <c r="K219" s="239"/>
      <c r="L219" s="234"/>
      <c r="M219" s="43"/>
    </row>
    <row r="220" spans="1:13" ht="13.5" customHeight="1" thickBot="1" x14ac:dyDescent="0.35">
      <c r="A220" s="279"/>
      <c r="B220" s="137"/>
      <c r="C220" s="226"/>
      <c r="D220" s="280"/>
      <c r="E220" s="281"/>
      <c r="F220" s="320"/>
      <c r="G220" s="283"/>
      <c r="H220" s="317"/>
      <c r="I220" s="286"/>
      <c r="J220" s="287"/>
      <c r="K220" s="241"/>
      <c r="L220" s="242"/>
      <c r="M220" s="43"/>
    </row>
    <row r="221" spans="1:13" ht="13.5" customHeight="1" x14ac:dyDescent="0.3">
      <c r="A221" s="288"/>
      <c r="B221" s="227" t="str">
        <f>IF(G221&gt;1,'INGRESO DE DATOS'!$I$9," ")</f>
        <v xml:space="preserve"> </v>
      </c>
      <c r="C221" s="228"/>
      <c r="D221" s="290"/>
      <c r="E221" s="292">
        <f>+'INGRESO DE DATOS'!C89</f>
        <v>0</v>
      </c>
      <c r="F221" s="319">
        <f>+'INGRESO DE DATOS'!D89</f>
        <v>0</v>
      </c>
      <c r="G221" s="296">
        <f>IF('INGRESO DE DATOS'!F89&gt;=2,'INGRESO DE DATOS'!E89*'INGRESO DE DATOS'!F89,IF('INGRESO DE DATOS'!F89&lt;2,'INGRESO DE DATOS'!E89,0))+L221+L222+L223</f>
        <v>0</v>
      </c>
      <c r="H221" s="316">
        <f>IF('INGRESO DE DATOS'!F89&gt;=2,'INGRESO DE DATOS'!F89*10000,IF('INGRESO DE DATOS'!E89&lt;10000,'INGRESO DE DATOS'!E89,IF('INGRESO DE DATOS'!E89&gt;=10000,10000,0)))</f>
        <v>0</v>
      </c>
      <c r="I221" s="299">
        <f>IF('INGRESO DE DATOS'!F89&gt;=2,'INGRESO DE DATOS'!F89*3000,IF('INGRESO DE DATOS'!E89&gt;12000,3000,IF('INGRESO DE DATOS'!E89=12000,2000,IF('INGRESO DE DATOS'!E89&lt;12000,0))))</f>
        <v>0</v>
      </c>
      <c r="J221" s="301">
        <f t="shared" ref="J221" si="52">+G221-H221-I221-L221-L222-L223</f>
        <v>0</v>
      </c>
      <c r="K221" s="238"/>
      <c r="L221" s="233"/>
      <c r="M221" s="43"/>
    </row>
    <row r="222" spans="1:13" ht="13.5" customHeight="1" x14ac:dyDescent="0.3">
      <c r="A222" s="279"/>
      <c r="B222" s="137"/>
      <c r="C222" s="226"/>
      <c r="D222" s="280"/>
      <c r="E222" s="281"/>
      <c r="F222" s="320"/>
      <c r="G222" s="283"/>
      <c r="H222" s="317"/>
      <c r="I222" s="286"/>
      <c r="J222" s="287"/>
      <c r="K222" s="239"/>
      <c r="L222" s="234"/>
      <c r="M222" s="43"/>
    </row>
    <row r="223" spans="1:13" ht="13.5" customHeight="1" thickBot="1" x14ac:dyDescent="0.35">
      <c r="A223" s="289"/>
      <c r="B223" s="138"/>
      <c r="C223" s="139"/>
      <c r="D223" s="291"/>
      <c r="E223" s="293"/>
      <c r="F223" s="321"/>
      <c r="G223" s="284"/>
      <c r="H223" s="318"/>
      <c r="I223" s="300"/>
      <c r="J223" s="302"/>
      <c r="K223" s="240"/>
      <c r="L223" s="236"/>
      <c r="M223" s="43"/>
    </row>
    <row r="224" spans="1:13" ht="13.5" customHeight="1" x14ac:dyDescent="0.3">
      <c r="A224" s="279"/>
      <c r="B224" s="137" t="str">
        <f>IF(G224&gt;1,'INGRESO DE DATOS'!$I$9," ")</f>
        <v xml:space="preserve"> </v>
      </c>
      <c r="C224" s="226"/>
      <c r="D224" s="280"/>
      <c r="E224" s="281">
        <f>+'INGRESO DE DATOS'!C90</f>
        <v>0</v>
      </c>
      <c r="F224" s="320">
        <f>+'INGRESO DE DATOS'!D90</f>
        <v>0</v>
      </c>
      <c r="G224" s="283">
        <f>IF('INGRESO DE DATOS'!F90&gt;=2,'INGRESO DE DATOS'!E90*'INGRESO DE DATOS'!F90,IF('INGRESO DE DATOS'!F90&lt;2,'INGRESO DE DATOS'!E90,0))+L224+L225+L226</f>
        <v>0</v>
      </c>
      <c r="H224" s="317">
        <f>IF('INGRESO DE DATOS'!F90&gt;=2,'INGRESO DE DATOS'!F90*10000,IF('INGRESO DE DATOS'!E90&lt;10000,'INGRESO DE DATOS'!E90,IF('INGRESO DE DATOS'!E90&gt;=10000,10000,0)))</f>
        <v>0</v>
      </c>
      <c r="I224" s="286">
        <f>IF('INGRESO DE DATOS'!F90&gt;=2,'INGRESO DE DATOS'!F90*3000,IF('INGRESO DE DATOS'!E90&gt;12000,3000,IF('INGRESO DE DATOS'!E90=12000,2000,IF('INGRESO DE DATOS'!E90&lt;12000,0))))</f>
        <v>0</v>
      </c>
      <c r="J224" s="287">
        <f t="shared" ref="J224" si="53">+G224-H224-I224-L224-L225-L226</f>
        <v>0</v>
      </c>
      <c r="K224" s="243"/>
      <c r="L224" s="235"/>
      <c r="M224" s="43"/>
    </row>
    <row r="225" spans="1:13" ht="13.5" customHeight="1" x14ac:dyDescent="0.3">
      <c r="A225" s="279"/>
      <c r="B225" s="137"/>
      <c r="C225" s="226"/>
      <c r="D225" s="280"/>
      <c r="E225" s="281"/>
      <c r="F225" s="320"/>
      <c r="G225" s="283"/>
      <c r="H225" s="317"/>
      <c r="I225" s="286"/>
      <c r="J225" s="287"/>
      <c r="K225" s="239"/>
      <c r="L225" s="234"/>
      <c r="M225" s="43"/>
    </row>
    <row r="226" spans="1:13" ht="13.5" customHeight="1" thickBot="1" x14ac:dyDescent="0.35">
      <c r="A226" s="279"/>
      <c r="B226" s="137"/>
      <c r="C226" s="226"/>
      <c r="D226" s="280"/>
      <c r="E226" s="281"/>
      <c r="F226" s="320"/>
      <c r="G226" s="283"/>
      <c r="H226" s="317"/>
      <c r="I226" s="286"/>
      <c r="J226" s="287"/>
      <c r="K226" s="241"/>
      <c r="L226" s="242"/>
      <c r="M226" s="43"/>
    </row>
    <row r="227" spans="1:13" ht="13.5" customHeight="1" x14ac:dyDescent="0.3">
      <c r="A227" s="288"/>
      <c r="B227" s="227" t="str">
        <f>IF(G227&gt;1,'INGRESO DE DATOS'!$I$9," ")</f>
        <v xml:space="preserve"> </v>
      </c>
      <c r="C227" s="228"/>
      <c r="D227" s="290"/>
      <c r="E227" s="292">
        <f>+'INGRESO DE DATOS'!C91</f>
        <v>0</v>
      </c>
      <c r="F227" s="294">
        <f>+'INGRESO DE DATOS'!D91</f>
        <v>0</v>
      </c>
      <c r="G227" s="296">
        <f>IF('INGRESO DE DATOS'!F91&gt;=2,'INGRESO DE DATOS'!E91*'INGRESO DE DATOS'!F91,IF('INGRESO DE DATOS'!F91&lt;2,'INGRESO DE DATOS'!E91,0))+L227+L228+L229</f>
        <v>0</v>
      </c>
      <c r="H227" s="297">
        <f>IF('INGRESO DE DATOS'!F91&gt;=2,'INGRESO DE DATOS'!F91*10000,IF('INGRESO DE DATOS'!E91&lt;10000,'INGRESO DE DATOS'!E91,IF('INGRESO DE DATOS'!E91&gt;=10000,10000,0)))</f>
        <v>0</v>
      </c>
      <c r="I227" s="299">
        <f>IF('INGRESO DE DATOS'!F91&gt;=2,'INGRESO DE DATOS'!F91*3000,IF('INGRESO DE DATOS'!E91&gt;12000,3000,IF('INGRESO DE DATOS'!E91=12000,2000,IF('INGRESO DE DATOS'!E91&lt;12000,0))))</f>
        <v>0</v>
      </c>
      <c r="J227" s="301">
        <f t="shared" ref="J227" si="54">+G227-H227-I227-L227-L228-L229</f>
        <v>0</v>
      </c>
      <c r="K227" s="238"/>
      <c r="L227" s="233"/>
      <c r="M227" s="43"/>
    </row>
    <row r="228" spans="1:13" ht="13.5" customHeight="1" x14ac:dyDescent="0.3">
      <c r="A228" s="279"/>
      <c r="B228" s="137"/>
      <c r="C228" s="226"/>
      <c r="D228" s="280"/>
      <c r="E228" s="281"/>
      <c r="F228" s="282"/>
      <c r="G228" s="283"/>
      <c r="H228" s="285"/>
      <c r="I228" s="286"/>
      <c r="J228" s="287"/>
      <c r="K228" s="239"/>
      <c r="L228" s="234"/>
      <c r="M228" s="43"/>
    </row>
    <row r="229" spans="1:13" ht="13.5" customHeight="1" thickBot="1" x14ac:dyDescent="0.35">
      <c r="A229" s="289"/>
      <c r="B229" s="138"/>
      <c r="C229" s="139"/>
      <c r="D229" s="291"/>
      <c r="E229" s="293"/>
      <c r="F229" s="295"/>
      <c r="G229" s="284"/>
      <c r="H229" s="298"/>
      <c r="I229" s="300"/>
      <c r="J229" s="302"/>
      <c r="K229" s="240"/>
      <c r="L229" s="236"/>
      <c r="M229" s="43"/>
    </row>
    <row r="230" spans="1:13" ht="13.5" customHeight="1" x14ac:dyDescent="0.3">
      <c r="A230" s="279"/>
      <c r="B230" s="137" t="str">
        <f>IF(G230&gt;1,'INGRESO DE DATOS'!$I$9," ")</f>
        <v xml:space="preserve"> </v>
      </c>
      <c r="C230" s="226"/>
      <c r="D230" s="280"/>
      <c r="E230" s="281">
        <f>+'INGRESO DE DATOS'!C92</f>
        <v>0</v>
      </c>
      <c r="F230" s="282">
        <f>+'INGRESO DE DATOS'!D92</f>
        <v>0</v>
      </c>
      <c r="G230" s="283">
        <f>IF('INGRESO DE DATOS'!F92&gt;=2,'INGRESO DE DATOS'!E92*'INGRESO DE DATOS'!F92,IF('INGRESO DE DATOS'!F92&lt;2,'INGRESO DE DATOS'!E92,0))+L230+L231+L232</f>
        <v>0</v>
      </c>
      <c r="H230" s="285">
        <f>IF('INGRESO DE DATOS'!F92&gt;=2,'INGRESO DE DATOS'!F92*10000,IF('INGRESO DE DATOS'!E92&lt;10000,'INGRESO DE DATOS'!E92,IF('INGRESO DE DATOS'!E92&gt;=10000,10000,0)))</f>
        <v>0</v>
      </c>
      <c r="I230" s="286">
        <f>IF('INGRESO DE DATOS'!F92&gt;=2,'INGRESO DE DATOS'!F92*3000,IF('INGRESO DE DATOS'!E92&gt;12000,3000,IF('INGRESO DE DATOS'!E92=12000,2000,IF('INGRESO DE DATOS'!E92&lt;12000,0))))</f>
        <v>0</v>
      </c>
      <c r="J230" s="287">
        <f t="shared" ref="J230" si="55">+G230-H230-I230-L230-L231-L232</f>
        <v>0</v>
      </c>
      <c r="K230" s="243"/>
      <c r="L230" s="235"/>
      <c r="M230" s="43"/>
    </row>
    <row r="231" spans="1:13" ht="13.5" customHeight="1" x14ac:dyDescent="0.3">
      <c r="A231" s="279"/>
      <c r="B231" s="137"/>
      <c r="C231" s="226"/>
      <c r="D231" s="280"/>
      <c r="E231" s="281"/>
      <c r="F231" s="282"/>
      <c r="G231" s="283"/>
      <c r="H231" s="285"/>
      <c r="I231" s="286"/>
      <c r="J231" s="287"/>
      <c r="K231" s="239"/>
      <c r="L231" s="234"/>
      <c r="M231" s="43"/>
    </row>
    <row r="232" spans="1:13" ht="13.5" customHeight="1" thickBot="1" x14ac:dyDescent="0.35">
      <c r="A232" s="279"/>
      <c r="B232" s="137"/>
      <c r="C232" s="226"/>
      <c r="D232" s="280"/>
      <c r="E232" s="281"/>
      <c r="F232" s="282"/>
      <c r="G232" s="283"/>
      <c r="H232" s="285"/>
      <c r="I232" s="286"/>
      <c r="J232" s="287"/>
      <c r="K232" s="241"/>
      <c r="L232" s="242">
        <v>0</v>
      </c>
      <c r="M232" s="43"/>
    </row>
    <row r="233" spans="1:13" ht="13.5" customHeight="1" x14ac:dyDescent="0.3">
      <c r="A233" s="288"/>
      <c r="B233" s="227"/>
      <c r="C233" s="228"/>
      <c r="D233" s="311"/>
      <c r="E233" s="313">
        <f>'INGRESO DE DATOS'!C93</f>
        <v>0</v>
      </c>
      <c r="F233" s="294">
        <f>'INGRESO DE DATOS'!D93</f>
        <v>0</v>
      </c>
      <c r="G233" s="296">
        <f>IF('INGRESO DE DATOS'!F93&gt;=2,'INGRESO DE DATOS'!E93*'INGRESO DE DATOS'!F93,IF('INGRESO DE DATOS'!F93&lt;2,'INGRESO DE DATOS'!E93,0))+L233+L234+L235</f>
        <v>0</v>
      </c>
      <c r="H233" s="297">
        <f>IF('INGRESO DE DATOS'!F93&gt;=2,'INGRESO DE DATOS'!F93*10000,IF('INGRESO DE DATOS'!E93&lt;10000,'INGRESO DE DATOS'!E93,IF('INGRESO DE DATOS'!E93&gt;=10000,10000,0)))</f>
        <v>0</v>
      </c>
      <c r="I233" s="299">
        <f>IF('INGRESO DE DATOS'!F93&gt;=2,'INGRESO DE DATOS'!F93*3000,IF('INGRESO DE DATOS'!E93&gt;12000,3000,IF('INGRESO DE DATOS'!E93=12000,2000,IF('INGRESO DE DATOS'!E93&lt;12000,0))))</f>
        <v>0</v>
      </c>
      <c r="J233" s="301">
        <f t="shared" ref="J233" si="56">+G233-H233-I233-L233-L234-L235</f>
        <v>0</v>
      </c>
      <c r="K233" s="238"/>
      <c r="L233" s="233"/>
      <c r="M233" s="43"/>
    </row>
    <row r="234" spans="1:13" ht="13.5" customHeight="1" x14ac:dyDescent="0.3">
      <c r="A234" s="279"/>
      <c r="B234" s="137"/>
      <c r="C234" s="226"/>
      <c r="D234" s="309"/>
      <c r="E234" s="314"/>
      <c r="F234" s="282"/>
      <c r="G234" s="283"/>
      <c r="H234" s="285"/>
      <c r="I234" s="286"/>
      <c r="J234" s="287"/>
      <c r="K234" s="239"/>
      <c r="L234" s="234"/>
      <c r="M234" s="43"/>
    </row>
    <row r="235" spans="1:13" ht="13.5" customHeight="1" thickBot="1" x14ac:dyDescent="0.35">
      <c r="A235" s="289"/>
      <c r="B235" s="138"/>
      <c r="C235" s="139"/>
      <c r="D235" s="312"/>
      <c r="E235" s="315"/>
      <c r="F235" s="295"/>
      <c r="G235" s="284"/>
      <c r="H235" s="298"/>
      <c r="I235" s="300"/>
      <c r="J235" s="302"/>
      <c r="K235" s="240"/>
      <c r="L235" s="236"/>
      <c r="M235" s="43"/>
    </row>
    <row r="236" spans="1:13" ht="13.5" customHeight="1" x14ac:dyDescent="0.3">
      <c r="A236" s="279"/>
      <c r="B236" s="246"/>
      <c r="C236" s="246"/>
      <c r="D236" s="309"/>
      <c r="E236" s="281">
        <f>'INGRESO DE DATOS'!C94</f>
        <v>0</v>
      </c>
      <c r="F236" s="282">
        <f>'INGRESO DE DATOS'!D94</f>
        <v>0</v>
      </c>
      <c r="G236" s="283">
        <f>IF('INGRESO DE DATOS'!F94&gt;=2,'INGRESO DE DATOS'!E94*'INGRESO DE DATOS'!F94,IF('INGRESO DE DATOS'!F94&lt;2,'INGRESO DE DATOS'!E94,0))+L236+L237+L238</f>
        <v>0</v>
      </c>
      <c r="H236" s="285">
        <f>IF('INGRESO DE DATOS'!F94&gt;=2,'INGRESO DE DATOS'!F94*10000,IF('INGRESO DE DATOS'!E94&lt;10000,'INGRESO DE DATOS'!E94,IF('INGRESO DE DATOS'!E94&gt;=10000,10000,0)))</f>
        <v>0</v>
      </c>
      <c r="I236" s="286">
        <f>IF('INGRESO DE DATOS'!F94&gt;=2,'INGRESO DE DATOS'!F94*3000,IF('INGRESO DE DATOS'!E94&gt;12000,3000,IF('INGRESO DE DATOS'!E94=12000,2000,IF('INGRESO DE DATOS'!E94&lt;12000,0))))</f>
        <v>0</v>
      </c>
      <c r="J236" s="287">
        <f>+G236-H236-I236-L236-L237-L238</f>
        <v>0</v>
      </c>
      <c r="K236" s="243"/>
      <c r="L236" s="235"/>
      <c r="M236" s="43"/>
    </row>
    <row r="237" spans="1:13" ht="13.5" customHeight="1" x14ac:dyDescent="0.3">
      <c r="A237" s="279"/>
      <c r="B237" s="160"/>
      <c r="C237" s="160"/>
      <c r="D237" s="309"/>
      <c r="E237" s="281"/>
      <c r="F237" s="282"/>
      <c r="G237" s="283"/>
      <c r="H237" s="285"/>
      <c r="I237" s="286"/>
      <c r="J237" s="287"/>
      <c r="K237" s="239"/>
      <c r="L237" s="234"/>
      <c r="M237" s="43"/>
    </row>
    <row r="238" spans="1:13" ht="13.5" customHeight="1" thickBot="1" x14ac:dyDescent="0.35">
      <c r="A238" s="279"/>
      <c r="B238" s="245"/>
      <c r="C238" s="245"/>
      <c r="D238" s="309"/>
      <c r="E238" s="281"/>
      <c r="F238" s="282"/>
      <c r="G238" s="283"/>
      <c r="H238" s="285"/>
      <c r="I238" s="286"/>
      <c r="J238" s="287"/>
      <c r="K238" s="241"/>
      <c r="L238" s="242"/>
      <c r="M238" s="43"/>
    </row>
    <row r="239" spans="1:13" ht="13.5" customHeight="1" thickBot="1" x14ac:dyDescent="0.35">
      <c r="A239" s="364"/>
      <c r="B239" s="247"/>
      <c r="C239" s="247"/>
      <c r="D239" s="367"/>
      <c r="E239" s="370">
        <f>'INGRESO DE DATOS'!C95</f>
        <v>0</v>
      </c>
      <c r="F239" s="373">
        <f>'INGRESO DE DATOS'!D95</f>
        <v>0</v>
      </c>
      <c r="G239" s="296">
        <f>IF('INGRESO DE DATOS'!F95&gt;=2,'INGRESO DE DATOS'!E95*'INGRESO DE DATOS'!F95,IF('INGRESO DE DATOS'!F95&lt;2,'INGRESO DE DATOS'!E95,0))+L239+L240+L241</f>
        <v>0</v>
      </c>
      <c r="H239" s="376">
        <f>IF('INGRESO DE DATOS'!F95&gt;=2,'INGRESO DE DATOS'!F95*10000,IF('INGRESO DE DATOS'!E95&lt;10000,'INGRESO DE DATOS'!E95,IF('INGRESO DE DATOS'!E95&gt;=10000,10000,0)))</f>
        <v>0</v>
      </c>
      <c r="I239" s="379">
        <f>IF('INGRESO DE DATOS'!F95&gt;=2,'INGRESO DE DATOS'!F95*3000,IF('INGRESO DE DATOS'!E95&gt;12000,3000,IF('INGRESO DE DATOS'!E95=12000,2000,IF('INGRESO DE DATOS'!E95&lt;12000,0))))</f>
        <v>0</v>
      </c>
      <c r="J239" s="301">
        <f>+G239-H239-I239-L239-L240-L241</f>
        <v>0</v>
      </c>
      <c r="K239" s="238"/>
      <c r="L239" s="233"/>
      <c r="M239" s="43"/>
    </row>
    <row r="240" spans="1:13" ht="13.5" customHeight="1" thickBot="1" x14ac:dyDescent="0.35">
      <c r="A240" s="365"/>
      <c r="B240" s="159"/>
      <c r="C240" s="159"/>
      <c r="D240" s="368"/>
      <c r="E240" s="371"/>
      <c r="F240" s="374"/>
      <c r="G240" s="283"/>
      <c r="H240" s="377"/>
      <c r="I240" s="380"/>
      <c r="J240" s="287"/>
      <c r="K240" s="239"/>
      <c r="L240" s="234"/>
      <c r="M240" s="43"/>
    </row>
    <row r="241" spans="1:13" ht="13.5" customHeight="1" thickBot="1" x14ac:dyDescent="0.35">
      <c r="A241" s="366"/>
      <c r="B241" s="248"/>
      <c r="C241" s="248"/>
      <c r="D241" s="369"/>
      <c r="E241" s="372"/>
      <c r="F241" s="375"/>
      <c r="G241" s="284"/>
      <c r="H241" s="378"/>
      <c r="I241" s="381"/>
      <c r="J241" s="302"/>
      <c r="K241" s="240"/>
      <c r="L241" s="236"/>
      <c r="M241" s="43"/>
    </row>
    <row r="242" spans="1:13" ht="13.5" customHeight="1" x14ac:dyDescent="0.3">
      <c r="A242" s="279"/>
      <c r="B242" s="246"/>
      <c r="C242" s="246"/>
      <c r="D242" s="309"/>
      <c r="E242" s="281">
        <f>'INGRESO DE DATOS'!C96</f>
        <v>0</v>
      </c>
      <c r="F242" s="282">
        <f>'INGRESO DE DATOS'!D96</f>
        <v>0</v>
      </c>
      <c r="G242" s="283">
        <f>IF('INGRESO DE DATOS'!F96&gt;=2,'INGRESO DE DATOS'!E96*'INGRESO DE DATOS'!F96,IF('INGRESO DE DATOS'!F96&lt;2,'INGRESO DE DATOS'!E96,0))+L242+L243+L244</f>
        <v>0</v>
      </c>
      <c r="H242" s="285">
        <f>IF('INGRESO DE DATOS'!F96&gt;=2,'INGRESO DE DATOS'!F96*10000,IF('INGRESO DE DATOS'!E96&lt;10000,'INGRESO DE DATOS'!E96,IF('INGRESO DE DATOS'!E96&gt;=10000,10000,0)))</f>
        <v>0</v>
      </c>
      <c r="I242" s="286">
        <f>IF('INGRESO DE DATOS'!F96&gt;=2,'INGRESO DE DATOS'!F96*3000,IF('INGRESO DE DATOS'!E96&gt;12000,3000,IF('INGRESO DE DATOS'!E96=12000,2000,IF('INGRESO DE DATOS'!E96&lt;12000,0))))</f>
        <v>0</v>
      </c>
      <c r="J242" s="287">
        <f>+G242-H242-I242-L242-L243-L244</f>
        <v>0</v>
      </c>
      <c r="K242" s="243"/>
      <c r="L242" s="235"/>
      <c r="M242" s="43"/>
    </row>
    <row r="243" spans="1:13" ht="13.5" customHeight="1" x14ac:dyDescent="0.3">
      <c r="A243" s="279"/>
      <c r="B243" s="160"/>
      <c r="C243" s="160"/>
      <c r="D243" s="309"/>
      <c r="E243" s="281"/>
      <c r="F243" s="282"/>
      <c r="G243" s="283"/>
      <c r="H243" s="285"/>
      <c r="I243" s="286"/>
      <c r="J243" s="287"/>
      <c r="K243" s="239"/>
      <c r="L243" s="234"/>
      <c r="M243" s="43"/>
    </row>
    <row r="244" spans="1:13" ht="13.5" customHeight="1" thickBot="1" x14ac:dyDescent="0.35">
      <c r="A244" s="279"/>
      <c r="B244" s="245"/>
      <c r="C244" s="245"/>
      <c r="D244" s="309"/>
      <c r="E244" s="281"/>
      <c r="F244" s="282"/>
      <c r="G244" s="283"/>
      <c r="H244" s="285"/>
      <c r="I244" s="286"/>
      <c r="J244" s="287"/>
      <c r="K244" s="241"/>
      <c r="L244" s="242"/>
      <c r="M244" s="43"/>
    </row>
    <row r="245" spans="1:13" ht="13.5" customHeight="1" x14ac:dyDescent="0.3">
      <c r="A245" s="288"/>
      <c r="B245" s="227"/>
      <c r="C245" s="228"/>
      <c r="D245" s="290"/>
      <c r="E245" s="292">
        <f>'INGRESO DE DATOS'!C97</f>
        <v>0</v>
      </c>
      <c r="F245" s="294">
        <f>'INGRESO DE DATOS'!D97</f>
        <v>0</v>
      </c>
      <c r="G245" s="296">
        <f>IF('INGRESO DE DATOS'!F97&gt;=2,'INGRESO DE DATOS'!E97*'INGRESO DE DATOS'!F97,IF('INGRESO DE DATOS'!F97&lt;2,'INGRESO DE DATOS'!E97,0))+L245+L246+L247</f>
        <v>0</v>
      </c>
      <c r="H245" s="297">
        <f>IF('INGRESO DE DATOS'!F97&gt;=2,'INGRESO DE DATOS'!F97*10000,IF('INGRESO DE DATOS'!E97&lt;10000,'INGRESO DE DATOS'!E97,IF('INGRESO DE DATOS'!E97&gt;=10000,10000,0)))</f>
        <v>0</v>
      </c>
      <c r="I245" s="299">
        <f>IF('INGRESO DE DATOS'!F97&gt;=2,'INGRESO DE DATOS'!F97*3000,IF('INGRESO DE DATOS'!E97&gt;12000,3000,IF('INGRESO DE DATOS'!E97=12000,2000,IF('INGRESO DE DATOS'!E97&lt;12000,0))))</f>
        <v>0</v>
      </c>
      <c r="J245" s="301">
        <f>+G245-H245-I245-L245-L246-L247</f>
        <v>0</v>
      </c>
      <c r="K245" s="238"/>
      <c r="L245" s="233"/>
      <c r="M245" s="43"/>
    </row>
    <row r="246" spans="1:13" ht="13.5" customHeight="1" x14ac:dyDescent="0.3">
      <c r="A246" s="279"/>
      <c r="B246" s="137"/>
      <c r="C246" s="226"/>
      <c r="D246" s="280"/>
      <c r="E246" s="281"/>
      <c r="F246" s="282"/>
      <c r="G246" s="283"/>
      <c r="H246" s="285"/>
      <c r="I246" s="286"/>
      <c r="J246" s="287"/>
      <c r="K246" s="239"/>
      <c r="L246" s="234"/>
      <c r="M246" s="43"/>
    </row>
    <row r="247" spans="1:13" ht="13.5" customHeight="1" thickBot="1" x14ac:dyDescent="0.35">
      <c r="A247" s="289"/>
      <c r="B247" s="138"/>
      <c r="C247" s="139"/>
      <c r="D247" s="291"/>
      <c r="E247" s="293"/>
      <c r="F247" s="295"/>
      <c r="G247" s="284"/>
      <c r="H247" s="298"/>
      <c r="I247" s="300"/>
      <c r="J247" s="302"/>
      <c r="K247" s="240"/>
      <c r="L247" s="236"/>
      <c r="M247" s="43"/>
    </row>
    <row r="248" spans="1:13" ht="13.5" customHeight="1" x14ac:dyDescent="0.3">
      <c r="A248" s="279"/>
      <c r="B248" s="226"/>
      <c r="C248" s="226"/>
      <c r="D248" s="309"/>
      <c r="E248" s="281">
        <f>'INGRESO DE DATOS'!C98</f>
        <v>0</v>
      </c>
      <c r="F248" s="282">
        <f>'INGRESO DE DATOS'!D98</f>
        <v>0</v>
      </c>
      <c r="G248" s="283">
        <f>IF('INGRESO DE DATOS'!F98&gt;=2,'INGRESO DE DATOS'!E98*'INGRESO DE DATOS'!F98,IF('INGRESO DE DATOS'!F98&lt;2,'INGRESO DE DATOS'!E98,0))+L248+L249+L250</f>
        <v>0</v>
      </c>
      <c r="H248" s="285">
        <f>IF('INGRESO DE DATOS'!F98&gt;=2,'INGRESO DE DATOS'!F98*10000,IF('INGRESO DE DATOS'!E98&lt;10000,'INGRESO DE DATOS'!E98,IF('INGRESO DE DATOS'!E98&gt;=10000,10000,0)))</f>
        <v>0</v>
      </c>
      <c r="I248" s="286">
        <f>IF('INGRESO DE DATOS'!F98&gt;=2,'INGRESO DE DATOS'!F98*3000,IF('INGRESO DE DATOS'!E98&gt;12000,3000,IF('INGRESO DE DATOS'!E98=12000,2000,IF('INGRESO DE DATOS'!E98&lt;12000,0))))</f>
        <v>0</v>
      </c>
      <c r="J248" s="287">
        <f>+G248-H248-I248-L248-L249-L250</f>
        <v>0</v>
      </c>
      <c r="K248" s="243"/>
      <c r="L248" s="235"/>
      <c r="M248" s="43"/>
    </row>
    <row r="249" spans="1:13" ht="13.5" customHeight="1" x14ac:dyDescent="0.3">
      <c r="A249" s="279"/>
      <c r="B249" s="226"/>
      <c r="C249" s="226"/>
      <c r="D249" s="309"/>
      <c r="E249" s="281"/>
      <c r="F249" s="282"/>
      <c r="G249" s="283"/>
      <c r="H249" s="285"/>
      <c r="I249" s="286"/>
      <c r="J249" s="287"/>
      <c r="K249" s="239"/>
      <c r="L249" s="234"/>
      <c r="M249" s="43"/>
    </row>
    <row r="250" spans="1:13" ht="13.5" customHeight="1" thickBot="1" x14ac:dyDescent="0.35">
      <c r="A250" s="279"/>
      <c r="B250" s="226"/>
      <c r="C250" s="226"/>
      <c r="D250" s="309"/>
      <c r="E250" s="281"/>
      <c r="F250" s="282"/>
      <c r="G250" s="283"/>
      <c r="H250" s="285"/>
      <c r="I250" s="286"/>
      <c r="J250" s="287"/>
      <c r="K250" s="241"/>
      <c r="L250" s="242"/>
      <c r="M250" s="43"/>
    </row>
    <row r="251" spans="1:13" ht="13.5" customHeight="1" x14ac:dyDescent="0.3">
      <c r="A251" s="288"/>
      <c r="B251" s="228"/>
      <c r="C251" s="228"/>
      <c r="D251" s="311"/>
      <c r="E251" s="292">
        <f>'INGRESO DE DATOS'!C99</f>
        <v>0</v>
      </c>
      <c r="F251" s="294">
        <f>'INGRESO DE DATOS'!D99</f>
        <v>0</v>
      </c>
      <c r="G251" s="296">
        <f>IF('INGRESO DE DATOS'!F99&gt;=2,'INGRESO DE DATOS'!E99*'INGRESO DE DATOS'!F99,IF('INGRESO DE DATOS'!F99&lt;2,'INGRESO DE DATOS'!E99,0))+L251+L252+L253</f>
        <v>0</v>
      </c>
      <c r="H251" s="297">
        <f>IF('INGRESO DE DATOS'!F99&gt;=2,'INGRESO DE DATOS'!F99*10000,IF('INGRESO DE DATOS'!E99&lt;10000,'INGRESO DE DATOS'!E99,IF('INGRESO DE DATOS'!E99&gt;=10000,10000,0)))</f>
        <v>0</v>
      </c>
      <c r="I251" s="299">
        <f>IF('INGRESO DE DATOS'!F99&gt;=2,'INGRESO DE DATOS'!F99*3000,IF('INGRESO DE DATOS'!E99&gt;12000,3000,IF('INGRESO DE DATOS'!E99=12000,2000,IF('INGRESO DE DATOS'!E99&lt;12000,0))))</f>
        <v>0</v>
      </c>
      <c r="J251" s="301">
        <f>+G251-H251-I251-L251-L252-L253</f>
        <v>0</v>
      </c>
      <c r="K251" s="238"/>
      <c r="L251" s="233"/>
      <c r="M251" s="43"/>
    </row>
    <row r="252" spans="1:13" ht="13.5" customHeight="1" x14ac:dyDescent="0.3">
      <c r="A252" s="279"/>
      <c r="B252" s="226"/>
      <c r="C252" s="226"/>
      <c r="D252" s="309"/>
      <c r="E252" s="281"/>
      <c r="F252" s="282"/>
      <c r="G252" s="283"/>
      <c r="H252" s="285"/>
      <c r="I252" s="286"/>
      <c r="J252" s="287"/>
      <c r="K252" s="239"/>
      <c r="L252" s="234"/>
      <c r="M252" s="43"/>
    </row>
    <row r="253" spans="1:13" ht="13.5" customHeight="1" thickBot="1" x14ac:dyDescent="0.35">
      <c r="A253" s="289"/>
      <c r="B253" s="139"/>
      <c r="C253" s="139"/>
      <c r="D253" s="312"/>
      <c r="E253" s="293"/>
      <c r="F253" s="295"/>
      <c r="G253" s="284"/>
      <c r="H253" s="298"/>
      <c r="I253" s="300"/>
      <c r="J253" s="302"/>
      <c r="K253" s="240"/>
      <c r="L253" s="236"/>
      <c r="M253" s="43"/>
    </row>
    <row r="254" spans="1:13" ht="13.5" customHeight="1" x14ac:dyDescent="0.3">
      <c r="A254" s="279"/>
      <c r="B254" s="226"/>
      <c r="C254" s="226"/>
      <c r="D254" s="309"/>
      <c r="E254" s="281">
        <f>'INGRESO DE DATOS'!C100</f>
        <v>0</v>
      </c>
      <c r="F254" s="282">
        <f>'INGRESO DE DATOS'!D100</f>
        <v>0</v>
      </c>
      <c r="G254" s="283">
        <f>IF('INGRESO DE DATOS'!F100&gt;=2,'INGRESO DE DATOS'!E100*'INGRESO DE DATOS'!F100,IF('INGRESO DE DATOS'!F100&lt;2,'INGRESO DE DATOS'!E100,0))+L254+L255+L256</f>
        <v>0</v>
      </c>
      <c r="H254" s="310">
        <f>IF('INGRESO DE DATOS'!F100&gt;=2,'INGRESO DE DATOS'!F100*10000,IF('INGRESO DE DATOS'!E100&lt;10000,'INGRESO DE DATOS'!E100,IF('INGRESO DE DATOS'!E100&gt;=10000,10000,0)))</f>
        <v>0</v>
      </c>
      <c r="I254" s="286">
        <f>IF('INGRESO DE DATOS'!F100&gt;=2,'INGRESO DE DATOS'!F100*3000,IF('INGRESO DE DATOS'!E100&gt;12000,3000,IF('INGRESO DE DATOS'!E100=12000,2000,IF('INGRESO DE DATOS'!E100&lt;12000,0))))</f>
        <v>0</v>
      </c>
      <c r="J254" s="287">
        <f>+G254-H254-I254-L254-L255-L256</f>
        <v>0</v>
      </c>
      <c r="K254" s="243"/>
      <c r="L254" s="235"/>
      <c r="M254" s="43"/>
    </row>
    <row r="255" spans="1:13" ht="13.5" customHeight="1" x14ac:dyDescent="0.3">
      <c r="A255" s="279"/>
      <c r="B255" s="226"/>
      <c r="C255" s="226"/>
      <c r="D255" s="309"/>
      <c r="E255" s="281"/>
      <c r="F255" s="282"/>
      <c r="G255" s="283"/>
      <c r="H255" s="310"/>
      <c r="I255" s="286"/>
      <c r="J255" s="287"/>
      <c r="K255" s="239"/>
      <c r="L255" s="234"/>
      <c r="M255" s="43"/>
    </row>
    <row r="256" spans="1:13" ht="13.5" customHeight="1" thickBot="1" x14ac:dyDescent="0.35">
      <c r="A256" s="279"/>
      <c r="B256" s="226"/>
      <c r="C256" s="226"/>
      <c r="D256" s="309"/>
      <c r="E256" s="281"/>
      <c r="F256" s="282"/>
      <c r="G256" s="283"/>
      <c r="H256" s="310"/>
      <c r="I256" s="286"/>
      <c r="J256" s="287"/>
      <c r="K256" s="241"/>
      <c r="L256" s="242"/>
      <c r="M256" s="43"/>
    </row>
    <row r="257" spans="1:13" ht="13.5" customHeight="1" x14ac:dyDescent="0.3">
      <c r="A257" s="249"/>
      <c r="B257" s="227"/>
      <c r="C257" s="228"/>
      <c r="D257" s="290"/>
      <c r="E257" s="292">
        <f>'INGRESO DE DATOS'!C101</f>
        <v>0</v>
      </c>
      <c r="F257" s="294">
        <f>'INGRESO DE DATOS'!D101</f>
        <v>0</v>
      </c>
      <c r="G257" s="296">
        <f>IF('INGRESO DE DATOS'!F101&gt;=2,'INGRESO DE DATOS'!E101*'INGRESO DE DATOS'!F101,IF('INGRESO DE DATOS'!F101&lt;2,'INGRESO DE DATOS'!E101,0))+L257+L258+L259</f>
        <v>0</v>
      </c>
      <c r="H257" s="297">
        <f>IF('INGRESO DE DATOS'!F101&gt;=2,'INGRESO DE DATOS'!F101*10000,IF('INGRESO DE DATOS'!E101&lt;10000,'INGRESO DE DATOS'!E101,IF('INGRESO DE DATOS'!E101&gt;=10000,10000,0)))</f>
        <v>0</v>
      </c>
      <c r="I257" s="299">
        <f>IF('INGRESO DE DATOS'!F101&gt;=2,'INGRESO DE DATOS'!F101*3000,IF('INGRESO DE DATOS'!E101&gt;12000,3000,IF('INGRESO DE DATOS'!E101=12000,2000,IF('INGRESO DE DATOS'!E101&lt;12000,0))))</f>
        <v>0</v>
      </c>
      <c r="J257" s="301">
        <f>+G257-H257-I257-L257-L258-L259</f>
        <v>0</v>
      </c>
      <c r="K257" s="238"/>
      <c r="L257" s="233"/>
      <c r="M257" s="43"/>
    </row>
    <row r="258" spans="1:13" ht="13.5" customHeight="1" x14ac:dyDescent="0.3">
      <c r="A258" s="224"/>
      <c r="B258" s="137"/>
      <c r="C258" s="226"/>
      <c r="D258" s="280"/>
      <c r="E258" s="281"/>
      <c r="F258" s="282"/>
      <c r="G258" s="283"/>
      <c r="H258" s="285"/>
      <c r="I258" s="286"/>
      <c r="J258" s="287"/>
      <c r="K258" s="239"/>
      <c r="L258" s="234"/>
      <c r="M258" s="43"/>
    </row>
    <row r="259" spans="1:13" ht="13.5" customHeight="1" thickBot="1" x14ac:dyDescent="0.35">
      <c r="A259" s="250"/>
      <c r="B259" s="138"/>
      <c r="C259" s="139"/>
      <c r="D259" s="291"/>
      <c r="E259" s="293"/>
      <c r="F259" s="295"/>
      <c r="G259" s="284"/>
      <c r="H259" s="298"/>
      <c r="I259" s="300"/>
      <c r="J259" s="302"/>
      <c r="K259" s="240"/>
      <c r="L259" s="236"/>
      <c r="M259" s="43"/>
    </row>
    <row r="260" spans="1:13" ht="13.5" customHeight="1" x14ac:dyDescent="0.3">
      <c r="A260" s="279"/>
      <c r="B260" s="137"/>
      <c r="C260" s="226"/>
      <c r="D260" s="280"/>
      <c r="E260" s="281">
        <f>'INGRESO DE DATOS'!C102</f>
        <v>0</v>
      </c>
      <c r="F260" s="282">
        <f>'INGRESO DE DATOS'!D102</f>
        <v>0</v>
      </c>
      <c r="G260" s="283">
        <f>IF('INGRESO DE DATOS'!F102&gt;=2,'INGRESO DE DATOS'!E102*'INGRESO DE DATOS'!F102,IF('INGRESO DE DATOS'!F102&lt;2,'INGRESO DE DATOS'!E102,0))+L260+L260+L260</f>
        <v>0</v>
      </c>
      <c r="H260" s="285">
        <f>IF('INGRESO DE DATOS'!F102&gt;=2,'INGRESO DE DATOS'!F102*10000,IF('INGRESO DE DATOS'!E102&lt;10000,'INGRESO DE DATOS'!E102,IF('INGRESO DE DATOS'!E102&gt;=10000,10000,0)))</f>
        <v>0</v>
      </c>
      <c r="I260" s="286">
        <f>IF('INGRESO DE DATOS'!F102&gt;=2,'INGRESO DE DATOS'!F102*3000,IF('INGRESO DE DATOS'!E102&gt;12000,3000,IF('INGRESO DE DATOS'!E102=12000,2000,IF('INGRESO DE DATOS'!E102&lt;12000,0))))</f>
        <v>0</v>
      </c>
      <c r="J260" s="287">
        <f>+G260-H260-I260-L260-L261-L262</f>
        <v>0</v>
      </c>
      <c r="K260" s="243"/>
      <c r="L260" s="235"/>
      <c r="M260" s="43"/>
    </row>
    <row r="261" spans="1:13" ht="13.5" customHeight="1" x14ac:dyDescent="0.3">
      <c r="A261" s="279"/>
      <c r="B261" s="137"/>
      <c r="C261" s="226"/>
      <c r="D261" s="280"/>
      <c r="E261" s="281"/>
      <c r="F261" s="282"/>
      <c r="G261" s="283"/>
      <c r="H261" s="285"/>
      <c r="I261" s="286"/>
      <c r="J261" s="287"/>
      <c r="K261" s="239"/>
      <c r="L261" s="234"/>
      <c r="M261" s="43"/>
    </row>
    <row r="262" spans="1:13" ht="13.5" customHeight="1" thickBot="1" x14ac:dyDescent="0.35">
      <c r="A262" s="279"/>
      <c r="B262" s="137"/>
      <c r="C262" s="226"/>
      <c r="D262" s="280"/>
      <c r="E262" s="281"/>
      <c r="F262" s="282"/>
      <c r="G262" s="283"/>
      <c r="H262" s="285"/>
      <c r="I262" s="286"/>
      <c r="J262" s="287"/>
      <c r="K262" s="241"/>
      <c r="L262" s="242"/>
      <c r="M262" s="43"/>
    </row>
    <row r="263" spans="1:13" ht="13.5" customHeight="1" x14ac:dyDescent="0.3">
      <c r="A263" s="288"/>
      <c r="B263" s="227"/>
      <c r="C263" s="228"/>
      <c r="D263" s="290"/>
      <c r="E263" s="292">
        <f>'INGRESO DE DATOS'!C103</f>
        <v>0</v>
      </c>
      <c r="F263" s="294">
        <f>'INGRESO DE DATOS'!D103</f>
        <v>0</v>
      </c>
      <c r="G263" s="296">
        <f>IF('INGRESO DE DATOS'!F103&gt;=2,'INGRESO DE DATOS'!E103*'INGRESO DE DATOS'!F103,IF('INGRESO DE DATOS'!F103&lt;2,'INGRESO DE DATOS'!E103,0))+L263+L264+L265</f>
        <v>0</v>
      </c>
      <c r="H263" s="297">
        <f>IF('INGRESO DE DATOS'!F103&gt;=2,'INGRESO DE DATOS'!F103*10000,IF('INGRESO DE DATOS'!E103&lt;10000,'INGRESO DE DATOS'!E103,IF('INGRESO DE DATOS'!E103&gt;=10000,10000,0)))</f>
        <v>0</v>
      </c>
      <c r="I263" s="299">
        <f>IF('INGRESO DE DATOS'!F103&gt;=2,'INGRESO DE DATOS'!F103*3000,IF('INGRESO DE DATOS'!E103&gt;12000,3000,IF('INGRESO DE DATOS'!E103=12000,2000,IF('INGRESO DE DATOS'!E103&lt;12000,0))))</f>
        <v>0</v>
      </c>
      <c r="J263" s="301">
        <f>+G263-H263-I263-L263-L264-L265</f>
        <v>0</v>
      </c>
      <c r="K263" s="238"/>
      <c r="L263" s="233"/>
      <c r="M263" s="43"/>
    </row>
    <row r="264" spans="1:13" ht="13.5" customHeight="1" x14ac:dyDescent="0.3">
      <c r="A264" s="279"/>
      <c r="B264" s="137"/>
      <c r="C264" s="226"/>
      <c r="D264" s="280"/>
      <c r="E264" s="281"/>
      <c r="F264" s="282"/>
      <c r="G264" s="283"/>
      <c r="H264" s="285"/>
      <c r="I264" s="286"/>
      <c r="J264" s="287"/>
      <c r="K264" s="239"/>
      <c r="L264" s="234"/>
      <c r="M264" s="43"/>
    </row>
    <row r="265" spans="1:13" ht="13.5" customHeight="1" thickBot="1" x14ac:dyDescent="0.35">
      <c r="A265" s="289"/>
      <c r="B265" s="138"/>
      <c r="C265" s="139"/>
      <c r="D265" s="291"/>
      <c r="E265" s="293"/>
      <c r="F265" s="295"/>
      <c r="G265" s="284"/>
      <c r="H265" s="298"/>
      <c r="I265" s="300"/>
      <c r="J265" s="302"/>
      <c r="K265" s="240"/>
      <c r="L265" s="236"/>
      <c r="M265" s="43"/>
    </row>
    <row r="266" spans="1:13" ht="13.5" customHeight="1" x14ac:dyDescent="0.3">
      <c r="A266" s="279"/>
      <c r="B266" s="137"/>
      <c r="C266" s="226"/>
      <c r="D266" s="280"/>
      <c r="E266" s="281">
        <f>'INGRESO DE DATOS'!C104</f>
        <v>0</v>
      </c>
      <c r="F266" s="282">
        <f>'INGRESO DE DATOS'!D104</f>
        <v>0</v>
      </c>
      <c r="G266" s="283">
        <f>IF('INGRESO DE DATOS'!F104&gt;=2,'INGRESO DE DATOS'!E104*'INGRESO DE DATOS'!F104,IF('INGRESO DE DATOS'!F104&lt;2,'INGRESO DE DATOS'!E104,0))+L266+L267+L268</f>
        <v>0</v>
      </c>
      <c r="H266" s="285">
        <f>IF('INGRESO DE DATOS'!F104&gt;=2,'INGRESO DE DATOS'!F104*10000,IF('INGRESO DE DATOS'!E104&lt;10000,'INGRESO DE DATOS'!E104,IF('INGRESO DE DATOS'!E104&gt;=10000,10000,0)))</f>
        <v>0</v>
      </c>
      <c r="I266" s="286">
        <f>IF('INGRESO DE DATOS'!F104&gt;=2,'INGRESO DE DATOS'!F104*3000,IF('INGRESO DE DATOS'!E104&gt;12000,3000,IF('INGRESO DE DATOS'!E104=12000,2000,IF('INGRESO DE DATOS'!E104&lt;12000,0))))</f>
        <v>0</v>
      </c>
      <c r="J266" s="287">
        <f>+G266-H266-I266-L266-L267-L268</f>
        <v>0</v>
      </c>
      <c r="K266" s="243"/>
      <c r="L266" s="235"/>
      <c r="M266" s="43"/>
    </row>
    <row r="267" spans="1:13" ht="13.5" customHeight="1" x14ac:dyDescent="0.3">
      <c r="A267" s="279"/>
      <c r="B267" s="137"/>
      <c r="C267" s="226"/>
      <c r="D267" s="280"/>
      <c r="E267" s="281"/>
      <c r="F267" s="282"/>
      <c r="G267" s="283"/>
      <c r="H267" s="285"/>
      <c r="I267" s="286"/>
      <c r="J267" s="287"/>
      <c r="K267" s="239"/>
      <c r="L267" s="234"/>
      <c r="M267" s="43"/>
    </row>
    <row r="268" spans="1:13" ht="13.5" customHeight="1" thickBot="1" x14ac:dyDescent="0.35">
      <c r="A268" s="279"/>
      <c r="B268" s="137"/>
      <c r="C268" s="226"/>
      <c r="D268" s="280"/>
      <c r="E268" s="281"/>
      <c r="F268" s="282"/>
      <c r="G268" s="283"/>
      <c r="H268" s="285"/>
      <c r="I268" s="286"/>
      <c r="J268" s="287"/>
      <c r="K268" s="241"/>
      <c r="L268" s="242"/>
      <c r="M268" s="43"/>
    </row>
    <row r="269" spans="1:13" ht="13.5" customHeight="1" x14ac:dyDescent="0.3">
      <c r="A269" s="288"/>
      <c r="B269" s="227"/>
      <c r="C269" s="228"/>
      <c r="D269" s="290"/>
      <c r="E269" s="292">
        <f>'INGRESO DE DATOS'!C105</f>
        <v>0</v>
      </c>
      <c r="F269" s="294">
        <f>'INGRESO DE DATOS'!D105</f>
        <v>0</v>
      </c>
      <c r="G269" s="296">
        <f>IF('INGRESO DE DATOS'!F105&gt;=2,'INGRESO DE DATOS'!E105*'INGRESO DE DATOS'!F105,IF('INGRESO DE DATOS'!F105&lt;2,'INGRESO DE DATOS'!E105,0))+L269+L270+L271</f>
        <v>0</v>
      </c>
      <c r="H269" s="297">
        <f>IF('INGRESO DE DATOS'!F105&gt;=2,'INGRESO DE DATOS'!F105*10000,IF('INGRESO DE DATOS'!E105&lt;10000,'INGRESO DE DATOS'!E105,IF('INGRESO DE DATOS'!E105&gt;=10000,10000,0)))</f>
        <v>0</v>
      </c>
      <c r="I269" s="299">
        <f>IF('INGRESO DE DATOS'!F105&gt;=2,'INGRESO DE DATOS'!F105*3000,IF('INGRESO DE DATOS'!E105&gt;12000,3000,IF('INGRESO DE DATOS'!E105=12000,2000,IF('INGRESO DE DATOS'!E105&lt;12000,0))))</f>
        <v>0</v>
      </c>
      <c r="J269" s="301">
        <f>+G269-H269-I269-L269-L270-L271</f>
        <v>0</v>
      </c>
      <c r="K269" s="238"/>
      <c r="L269" s="233"/>
      <c r="M269" s="43"/>
    </row>
    <row r="270" spans="1:13" ht="13.5" customHeight="1" x14ac:dyDescent="0.3">
      <c r="A270" s="279"/>
      <c r="B270" s="137"/>
      <c r="C270" s="226"/>
      <c r="D270" s="280"/>
      <c r="E270" s="281"/>
      <c r="F270" s="282"/>
      <c r="G270" s="283"/>
      <c r="H270" s="285"/>
      <c r="I270" s="286"/>
      <c r="J270" s="287"/>
      <c r="K270" s="239"/>
      <c r="L270" s="234"/>
      <c r="M270" s="43"/>
    </row>
    <row r="271" spans="1:13" ht="13.5" customHeight="1" thickBot="1" x14ac:dyDescent="0.35">
      <c r="A271" s="289"/>
      <c r="B271" s="138"/>
      <c r="C271" s="139"/>
      <c r="D271" s="291"/>
      <c r="E271" s="293"/>
      <c r="F271" s="295"/>
      <c r="G271" s="284"/>
      <c r="H271" s="298"/>
      <c r="I271" s="300"/>
      <c r="J271" s="302"/>
      <c r="K271" s="240"/>
      <c r="L271" s="236"/>
      <c r="M271" s="43"/>
    </row>
    <row r="272" spans="1:13" ht="13.5" customHeight="1" x14ac:dyDescent="0.3">
      <c r="A272" s="279"/>
      <c r="B272" s="137"/>
      <c r="C272" s="226"/>
      <c r="D272" s="280"/>
      <c r="E272" s="281">
        <f>'INGRESO DE DATOS'!C106</f>
        <v>0</v>
      </c>
      <c r="F272" s="282">
        <f>'INGRESO DE DATOS'!D106</f>
        <v>0</v>
      </c>
      <c r="G272" s="283">
        <f>IF('INGRESO DE DATOS'!F106&gt;=2,'INGRESO DE DATOS'!E106*'INGRESO DE DATOS'!F106,IF('INGRESO DE DATOS'!F106&lt;2,'INGRESO DE DATOS'!E106,0))+L272+L273+L274</f>
        <v>0</v>
      </c>
      <c r="H272" s="285">
        <f>IF('INGRESO DE DATOS'!F106&gt;=2,'INGRESO DE DATOS'!F106*10000,IF('INGRESO DE DATOS'!E106&lt;10000,'INGRESO DE DATOS'!E106,IF('INGRESO DE DATOS'!E106&gt;=10000,10000,0)))</f>
        <v>0</v>
      </c>
      <c r="I272" s="286">
        <f>IF('INGRESO DE DATOS'!F106&gt;=2,'INGRESO DE DATOS'!F106*3000,IF('INGRESO DE DATOS'!E106&gt;12000,3000,IF('INGRESO DE DATOS'!E106=12000,2000,IF('INGRESO DE DATOS'!E106&lt;12000,0))))</f>
        <v>0</v>
      </c>
      <c r="J272" s="287">
        <f>+G272-H272-I272-L272-L273-L274</f>
        <v>0</v>
      </c>
      <c r="K272" s="243"/>
      <c r="L272" s="235"/>
      <c r="M272" s="43"/>
    </row>
    <row r="273" spans="1:13" ht="13.5" customHeight="1" x14ac:dyDescent="0.3">
      <c r="A273" s="279"/>
      <c r="B273" s="137"/>
      <c r="C273" s="226"/>
      <c r="D273" s="280"/>
      <c r="E273" s="281"/>
      <c r="F273" s="282"/>
      <c r="G273" s="283"/>
      <c r="H273" s="285"/>
      <c r="I273" s="286"/>
      <c r="J273" s="287"/>
      <c r="K273" s="239"/>
      <c r="L273" s="234"/>
      <c r="M273" s="43"/>
    </row>
    <row r="274" spans="1:13" ht="13.5" customHeight="1" thickBot="1" x14ac:dyDescent="0.35">
      <c r="A274" s="279"/>
      <c r="B274" s="137"/>
      <c r="C274" s="226"/>
      <c r="D274" s="280"/>
      <c r="E274" s="281"/>
      <c r="F274" s="282"/>
      <c r="G274" s="283"/>
      <c r="H274" s="285"/>
      <c r="I274" s="286"/>
      <c r="J274" s="287"/>
      <c r="K274" s="241"/>
      <c r="L274" s="242"/>
      <c r="M274" s="43"/>
    </row>
    <row r="275" spans="1:13" ht="13.5" customHeight="1" x14ac:dyDescent="0.3">
      <c r="A275" s="288"/>
      <c r="B275" s="227"/>
      <c r="C275" s="228"/>
      <c r="D275" s="290"/>
      <c r="E275" s="292">
        <f>'INGRESO DE DATOS'!C107</f>
        <v>0</v>
      </c>
      <c r="F275" s="294">
        <f>'INGRESO DE DATOS'!D107</f>
        <v>0</v>
      </c>
      <c r="G275" s="296">
        <f>IF('INGRESO DE DATOS'!F107&gt;=2,'INGRESO DE DATOS'!E107*'INGRESO DE DATOS'!F107,IF('INGRESO DE DATOS'!F107&lt;2,'INGRESO DE DATOS'!E107,0))+L275+L276+L277</f>
        <v>0</v>
      </c>
      <c r="H275" s="297">
        <f>IF('INGRESO DE DATOS'!F107&gt;=2,'INGRESO DE DATOS'!F107*10000,IF('INGRESO DE DATOS'!E107&lt;10000,'INGRESO DE DATOS'!E107,IF('INGRESO DE DATOS'!E107&gt;=10000,10000,0)))</f>
        <v>0</v>
      </c>
      <c r="I275" s="299">
        <f>IF('INGRESO DE DATOS'!F107&gt;=2,'INGRESO DE DATOS'!F107*3000,IF('INGRESO DE DATOS'!E107&gt;12000,3000,IF('INGRESO DE DATOS'!E107=12000,2000,IF('INGRESO DE DATOS'!E107&lt;12000,0))))</f>
        <v>0</v>
      </c>
      <c r="J275" s="301">
        <f>+G275-H275-I275-L275-L276-L277</f>
        <v>0</v>
      </c>
      <c r="K275" s="238"/>
      <c r="L275" s="233"/>
      <c r="M275" s="43"/>
    </row>
    <row r="276" spans="1:13" ht="13.5" customHeight="1" x14ac:dyDescent="0.3">
      <c r="A276" s="279"/>
      <c r="B276" s="137"/>
      <c r="C276" s="226"/>
      <c r="D276" s="280"/>
      <c r="E276" s="281"/>
      <c r="F276" s="282"/>
      <c r="G276" s="283"/>
      <c r="H276" s="285"/>
      <c r="I276" s="286"/>
      <c r="J276" s="287"/>
      <c r="K276" s="239"/>
      <c r="L276" s="234"/>
      <c r="M276" s="43"/>
    </row>
    <row r="277" spans="1:13" ht="13.5" customHeight="1" thickBot="1" x14ac:dyDescent="0.35">
      <c r="A277" s="289"/>
      <c r="B277" s="138"/>
      <c r="C277" s="139"/>
      <c r="D277" s="291"/>
      <c r="E277" s="293"/>
      <c r="F277" s="295"/>
      <c r="G277" s="284"/>
      <c r="H277" s="298"/>
      <c r="I277" s="300"/>
      <c r="J277" s="302"/>
      <c r="K277" s="240"/>
      <c r="L277" s="236"/>
      <c r="M277" s="43"/>
    </row>
    <row r="278" spans="1:13" ht="13.5" customHeight="1" x14ac:dyDescent="0.3">
      <c r="A278" s="279"/>
      <c r="B278" s="137"/>
      <c r="C278" s="226"/>
      <c r="D278" s="280"/>
      <c r="E278" s="281">
        <f>'INGRESO DE DATOS'!C108</f>
        <v>0</v>
      </c>
      <c r="F278" s="282">
        <f>'INGRESO DE DATOS'!D108</f>
        <v>0</v>
      </c>
      <c r="G278" s="283">
        <f>IF('INGRESO DE DATOS'!F108&gt;=2,'INGRESO DE DATOS'!E108*'INGRESO DE DATOS'!F108,IF('INGRESO DE DATOS'!F108&lt;2,'INGRESO DE DATOS'!E108,0))+L278+L279+L280</f>
        <v>0</v>
      </c>
      <c r="H278" s="285">
        <f>IF('INGRESO DE DATOS'!F108&gt;=2,'INGRESO DE DATOS'!F108*10000,IF('INGRESO DE DATOS'!E108&lt;10000,'INGRESO DE DATOS'!E108,IF('INGRESO DE DATOS'!E108&gt;=10000,10000,0)))</f>
        <v>0</v>
      </c>
      <c r="I278" s="286">
        <f>IF('INGRESO DE DATOS'!F108&gt;=2,'INGRESO DE DATOS'!F108*3000,IF('INGRESO DE DATOS'!E108&gt;12000,3000,IF('INGRESO DE DATOS'!E108=12000,2000,IF('INGRESO DE DATOS'!E108&lt;12000,0))))</f>
        <v>0</v>
      </c>
      <c r="J278" s="287">
        <f>+G278-H278-I278-L278-L279-L280</f>
        <v>0</v>
      </c>
      <c r="K278" s="243"/>
      <c r="L278" s="235"/>
      <c r="M278" s="43"/>
    </row>
    <row r="279" spans="1:13" ht="13.5" customHeight="1" x14ac:dyDescent="0.3">
      <c r="A279" s="279"/>
      <c r="B279" s="137"/>
      <c r="C279" s="226"/>
      <c r="D279" s="280"/>
      <c r="E279" s="281"/>
      <c r="F279" s="282"/>
      <c r="G279" s="283"/>
      <c r="H279" s="285"/>
      <c r="I279" s="286"/>
      <c r="J279" s="287"/>
      <c r="K279" s="239"/>
      <c r="L279" s="234"/>
      <c r="M279" s="43"/>
    </row>
    <row r="280" spans="1:13" ht="13.5" customHeight="1" thickBot="1" x14ac:dyDescent="0.35">
      <c r="A280" s="279"/>
      <c r="B280" s="137"/>
      <c r="C280" s="226"/>
      <c r="D280" s="280"/>
      <c r="E280" s="281"/>
      <c r="F280" s="282"/>
      <c r="G280" s="283"/>
      <c r="H280" s="285"/>
      <c r="I280" s="286"/>
      <c r="J280" s="287"/>
      <c r="K280" s="241"/>
      <c r="L280" s="242"/>
      <c r="M280" s="43"/>
    </row>
    <row r="281" spans="1:13" ht="13.5" customHeight="1" x14ac:dyDescent="0.3">
      <c r="A281" s="288"/>
      <c r="B281" s="227"/>
      <c r="C281" s="228"/>
      <c r="D281" s="290"/>
      <c r="E281" s="292">
        <f>'INGRESO DE DATOS'!C109</f>
        <v>0</v>
      </c>
      <c r="F281" s="294">
        <f>'INGRESO DE DATOS'!D109</f>
        <v>0</v>
      </c>
      <c r="G281" s="296">
        <f>IF('INGRESO DE DATOS'!F109&gt;=2,'INGRESO DE DATOS'!E109*'INGRESO DE DATOS'!F109,IF('INGRESO DE DATOS'!F109&lt;2,'INGRESO DE DATOS'!E109,0))+L281+L282+L283</f>
        <v>0</v>
      </c>
      <c r="H281" s="297">
        <f>IF('INGRESO DE DATOS'!F109&gt;=2,'INGRESO DE DATOS'!F109*10000,IF('INGRESO DE DATOS'!E109&lt;10000,'INGRESO DE DATOS'!E109,IF('INGRESO DE DATOS'!E109&gt;=10000,10000,0)))</f>
        <v>0</v>
      </c>
      <c r="I281" s="299">
        <f>IF('INGRESO DE DATOS'!F109&gt;=2,'INGRESO DE DATOS'!F109*3000,IF('INGRESO DE DATOS'!E109&gt;12000,3000,IF('INGRESO DE DATOS'!E109=12000,2000,IF('INGRESO DE DATOS'!E109&lt;12000,0))))</f>
        <v>0</v>
      </c>
      <c r="J281" s="301">
        <f>+G281-H281-I281-L281-L282-L283</f>
        <v>0</v>
      </c>
      <c r="K281" s="238"/>
      <c r="L281" s="233"/>
      <c r="M281" s="43"/>
    </row>
    <row r="282" spans="1:13" ht="13.5" customHeight="1" x14ac:dyDescent="0.3">
      <c r="A282" s="279"/>
      <c r="B282" s="137"/>
      <c r="C282" s="226"/>
      <c r="D282" s="280"/>
      <c r="E282" s="281"/>
      <c r="F282" s="282"/>
      <c r="G282" s="283"/>
      <c r="H282" s="285"/>
      <c r="I282" s="286"/>
      <c r="J282" s="287"/>
      <c r="K282" s="239"/>
      <c r="L282" s="234"/>
      <c r="M282" s="43"/>
    </row>
    <row r="283" spans="1:13" ht="13.5" customHeight="1" thickBot="1" x14ac:dyDescent="0.35">
      <c r="A283" s="289"/>
      <c r="B283" s="138"/>
      <c r="C283" s="139"/>
      <c r="D283" s="291"/>
      <c r="E283" s="293"/>
      <c r="F283" s="295"/>
      <c r="G283" s="284"/>
      <c r="H283" s="298"/>
      <c r="I283" s="300"/>
      <c r="J283" s="302"/>
      <c r="K283" s="240"/>
      <c r="L283" s="236"/>
      <c r="M283" s="43"/>
    </row>
    <row r="284" spans="1:13" ht="13.5" customHeight="1" x14ac:dyDescent="0.3">
      <c r="A284" s="279"/>
      <c r="B284" s="137"/>
      <c r="C284" s="226"/>
      <c r="D284" s="280"/>
      <c r="E284" s="281">
        <f>'INGRESO DE DATOS'!C110</f>
        <v>0</v>
      </c>
      <c r="F284" s="282">
        <f>'INGRESO DE DATOS'!D110</f>
        <v>0</v>
      </c>
      <c r="G284" s="283">
        <f>IF('INGRESO DE DATOS'!F110&gt;=2,'INGRESO DE DATOS'!E110*'INGRESO DE DATOS'!F110,IF('INGRESO DE DATOS'!F110&lt;2,'INGRESO DE DATOS'!E110,0))+L284+L285+L286</f>
        <v>0</v>
      </c>
      <c r="H284" s="285">
        <f>IF('INGRESO DE DATOS'!F110&gt;=2,'INGRESO DE DATOS'!F110*10000,IF('INGRESO DE DATOS'!E110&lt;10000,'INGRESO DE DATOS'!E110,IF('INGRESO DE DATOS'!E110&gt;=10000,10000,0)))</f>
        <v>0</v>
      </c>
      <c r="I284" s="286">
        <f>IF('INGRESO DE DATOS'!F110&gt;=2,'INGRESO DE DATOS'!F110*3000,IF('INGRESO DE DATOS'!E110&gt;12000,3000,IF('INGRESO DE DATOS'!E110=12000,2000,IF('INGRESO DE DATOS'!E110&lt;12000,0))))</f>
        <v>0</v>
      </c>
      <c r="J284" s="287">
        <f>+G284-H284-I284-L284-L285-L286</f>
        <v>0</v>
      </c>
      <c r="K284" s="243"/>
      <c r="L284" s="235"/>
      <c r="M284" s="43"/>
    </row>
    <row r="285" spans="1:13" ht="13.5" customHeight="1" x14ac:dyDescent="0.3">
      <c r="A285" s="279"/>
      <c r="B285" s="137"/>
      <c r="C285" s="226"/>
      <c r="D285" s="280"/>
      <c r="E285" s="281"/>
      <c r="F285" s="282"/>
      <c r="G285" s="283"/>
      <c r="H285" s="285"/>
      <c r="I285" s="286"/>
      <c r="J285" s="287"/>
      <c r="K285" s="239"/>
      <c r="L285" s="234"/>
      <c r="M285" s="43"/>
    </row>
    <row r="286" spans="1:13" ht="13.5" customHeight="1" thickBot="1" x14ac:dyDescent="0.35">
      <c r="A286" s="279"/>
      <c r="B286" s="137"/>
      <c r="C286" s="226"/>
      <c r="D286" s="280"/>
      <c r="E286" s="281"/>
      <c r="F286" s="282"/>
      <c r="G286" s="283"/>
      <c r="H286" s="285"/>
      <c r="I286" s="286"/>
      <c r="J286" s="287"/>
      <c r="K286" s="241"/>
      <c r="L286" s="242"/>
      <c r="M286" s="43"/>
    </row>
    <row r="287" spans="1:13" ht="13.5" customHeight="1" x14ac:dyDescent="0.3">
      <c r="A287" s="288"/>
      <c r="B287" s="227"/>
      <c r="C287" s="228"/>
      <c r="D287" s="290"/>
      <c r="E287" s="292">
        <f>'INGRESO DE DATOS'!C111</f>
        <v>0</v>
      </c>
      <c r="F287" s="294">
        <f>'INGRESO DE DATOS'!D111</f>
        <v>0</v>
      </c>
      <c r="G287" s="296">
        <f>IF('INGRESO DE DATOS'!F111&gt;=2,'INGRESO DE DATOS'!E111*'INGRESO DE DATOS'!F111,IF('INGRESO DE DATOS'!F111&lt;2,'INGRESO DE DATOS'!E111,0))+L287+L288+L289</f>
        <v>0</v>
      </c>
      <c r="H287" s="297">
        <f>IF('INGRESO DE DATOS'!F111&gt;=2,'INGRESO DE DATOS'!F111*10000,IF('INGRESO DE DATOS'!E111&lt;10000,'INGRESO DE DATOS'!E111,IF('INGRESO DE DATOS'!E111&gt;=10000,10000,0)))</f>
        <v>0</v>
      </c>
      <c r="I287" s="299">
        <f>IF('INGRESO DE DATOS'!F111&gt;=2,'INGRESO DE DATOS'!F111*3000,IF('INGRESO DE DATOS'!E111&gt;12000,3000,IF('INGRESO DE DATOS'!E111=12000,2000,IF('INGRESO DE DATOS'!E111&lt;12000,0))))</f>
        <v>0</v>
      </c>
      <c r="J287" s="301">
        <f>+G287-H287-I287-L287-L288-L289</f>
        <v>0</v>
      </c>
      <c r="K287" s="238"/>
      <c r="L287" s="233"/>
      <c r="M287" s="43"/>
    </row>
    <row r="288" spans="1:13" ht="13.5" customHeight="1" x14ac:dyDescent="0.3">
      <c r="A288" s="279"/>
      <c r="B288" s="137"/>
      <c r="C288" s="226"/>
      <c r="D288" s="280"/>
      <c r="E288" s="281"/>
      <c r="F288" s="282"/>
      <c r="G288" s="283"/>
      <c r="H288" s="285"/>
      <c r="I288" s="286"/>
      <c r="J288" s="287"/>
      <c r="K288" s="239"/>
      <c r="L288" s="234"/>
      <c r="M288" s="43"/>
    </row>
    <row r="289" spans="1:13" ht="13.5" customHeight="1" thickBot="1" x14ac:dyDescent="0.35">
      <c r="A289" s="289"/>
      <c r="B289" s="138"/>
      <c r="C289" s="139"/>
      <c r="D289" s="291"/>
      <c r="E289" s="293"/>
      <c r="F289" s="295"/>
      <c r="G289" s="284"/>
      <c r="H289" s="298"/>
      <c r="I289" s="300"/>
      <c r="J289" s="302"/>
      <c r="K289" s="240"/>
      <c r="L289" s="236"/>
      <c r="M289" s="43"/>
    </row>
    <row r="290" spans="1:13" ht="13.5" customHeight="1" x14ac:dyDescent="0.3">
      <c r="A290" s="161"/>
      <c r="B290" s="137"/>
      <c r="C290" s="226"/>
      <c r="D290" s="280"/>
      <c r="E290" s="281">
        <f>'INGRESO DE DATOS'!C112</f>
        <v>0</v>
      </c>
      <c r="F290" s="282">
        <f>'INGRESO DE DATOS'!D112</f>
        <v>0</v>
      </c>
      <c r="G290" s="283">
        <f>IF('INGRESO DE DATOS'!F112&gt;=2,'INGRESO DE DATOS'!E112*'INGRESO DE DATOS'!F112,IF('INGRESO DE DATOS'!F112&lt;2,'INGRESO DE DATOS'!E112,0))+L290+L291+L292</f>
        <v>0</v>
      </c>
      <c r="H290" s="285">
        <f>IF('INGRESO DE DATOS'!F112&gt;=2,'INGRESO DE DATOS'!F112*10000,IF('INGRESO DE DATOS'!E112&lt;10000,'INGRESO DE DATOS'!E112,IF('INGRESO DE DATOS'!E112&gt;=10000,10000,0)))</f>
        <v>0</v>
      </c>
      <c r="I290" s="286">
        <f>IF('INGRESO DE DATOS'!F112&gt;=2,'INGRESO DE DATOS'!F112*3000,IF('INGRESO DE DATOS'!E112&gt;12000,3000,IF('INGRESO DE DATOS'!E112=12000,2000,IF('INGRESO DE DATOS'!E112&lt;12000,0))))</f>
        <v>0</v>
      </c>
      <c r="J290" s="287">
        <f>+G290-H290-I290-L290-L291-L292</f>
        <v>0</v>
      </c>
      <c r="K290" s="243"/>
      <c r="L290" s="235"/>
      <c r="M290" s="43"/>
    </row>
    <row r="291" spans="1:13" ht="13.5" customHeight="1" x14ac:dyDescent="0.3">
      <c r="A291" s="161"/>
      <c r="B291" s="137"/>
      <c r="C291" s="226"/>
      <c r="D291" s="280"/>
      <c r="E291" s="281"/>
      <c r="F291" s="282"/>
      <c r="G291" s="283"/>
      <c r="H291" s="285"/>
      <c r="I291" s="286"/>
      <c r="J291" s="287"/>
      <c r="K291" s="239"/>
      <c r="L291" s="234"/>
      <c r="M291" s="43"/>
    </row>
    <row r="292" spans="1:13" ht="13.5" customHeight="1" thickBot="1" x14ac:dyDescent="0.35">
      <c r="A292" s="161"/>
      <c r="B292" s="137"/>
      <c r="C292" s="226"/>
      <c r="D292" s="280"/>
      <c r="E292" s="281"/>
      <c r="F292" s="282"/>
      <c r="G292" s="283"/>
      <c r="H292" s="285"/>
      <c r="I292" s="286"/>
      <c r="J292" s="287"/>
      <c r="K292" s="241"/>
      <c r="L292" s="242"/>
      <c r="M292" s="43"/>
    </row>
    <row r="293" spans="1:13" ht="13.5" customHeight="1" x14ac:dyDescent="0.3">
      <c r="A293" s="288"/>
      <c r="B293" s="227"/>
      <c r="C293" s="228"/>
      <c r="D293" s="290"/>
      <c r="E293" s="292">
        <f>'INGRESO DE DATOS'!C113</f>
        <v>0</v>
      </c>
      <c r="F293" s="294">
        <f>'INGRESO DE DATOS'!D113</f>
        <v>0</v>
      </c>
      <c r="G293" s="296">
        <f>IF('INGRESO DE DATOS'!F113&gt;=2,'INGRESO DE DATOS'!E113*'INGRESO DE DATOS'!F113,IF('INGRESO DE DATOS'!F1113&lt;2,'INGRESO DE DATOS'!E113,0))+L293+L294+L295</f>
        <v>0</v>
      </c>
      <c r="H293" s="297">
        <f>IF('INGRESO DE DATOS'!F113&gt;=2,'INGRESO DE DATOS'!F113*10000,IF('INGRESO DE DATOS'!E113&lt;10000,'INGRESO DE DATOS'!E113,IF('INGRESO DE DATOS'!E113&gt;=10000,10000,0)))</f>
        <v>0</v>
      </c>
      <c r="I293" s="299">
        <f>IF('INGRESO DE DATOS'!F113&gt;=2,'INGRESO DE DATOS'!F113*3000,IF('INGRESO DE DATOS'!E113&gt;12000,3000,IF('INGRESO DE DATOS'!E113=12000,2000,IF('INGRESO DE DATOS'!E113&lt;12000,0))))</f>
        <v>0</v>
      </c>
      <c r="J293" s="301">
        <f>+G293-H293-I293-L293-L294-L295</f>
        <v>0</v>
      </c>
      <c r="K293" s="238"/>
      <c r="L293" s="233"/>
      <c r="M293" s="43"/>
    </row>
    <row r="294" spans="1:13" ht="13.5" customHeight="1" x14ac:dyDescent="0.3">
      <c r="A294" s="279"/>
      <c r="B294" s="137"/>
      <c r="C294" s="226"/>
      <c r="D294" s="280"/>
      <c r="E294" s="281"/>
      <c r="F294" s="282"/>
      <c r="G294" s="283"/>
      <c r="H294" s="285"/>
      <c r="I294" s="286"/>
      <c r="J294" s="287"/>
      <c r="K294" s="239"/>
      <c r="L294" s="234"/>
      <c r="M294" s="43"/>
    </row>
    <row r="295" spans="1:13" ht="13.5" customHeight="1" thickBot="1" x14ac:dyDescent="0.35">
      <c r="A295" s="289"/>
      <c r="B295" s="138"/>
      <c r="C295" s="139"/>
      <c r="D295" s="291"/>
      <c r="E295" s="293"/>
      <c r="F295" s="295"/>
      <c r="G295" s="284"/>
      <c r="H295" s="298"/>
      <c r="I295" s="300"/>
      <c r="J295" s="302"/>
      <c r="K295" s="240"/>
      <c r="L295" s="236"/>
      <c r="M295" s="43"/>
    </row>
    <row r="296" spans="1:13" ht="13.5" customHeight="1" x14ac:dyDescent="0.3">
      <c r="A296" s="279"/>
      <c r="B296" s="137"/>
      <c r="C296" s="226"/>
      <c r="D296" s="280"/>
      <c r="E296" s="281">
        <f>'INGRESO DE DATOS'!C114</f>
        <v>0</v>
      </c>
      <c r="F296" s="282">
        <f>'INGRESO DE DATOS'!D114</f>
        <v>0</v>
      </c>
      <c r="G296" s="283">
        <f>IF('INGRESO DE DATOS'!F114&gt;=2,'INGRESO DE DATOS'!E114*'INGRESO DE DATOS'!F114,IF('INGRESO DE DATOS'!F114&lt;2,'INGRESO DE DATOS'!E114,0))+L296+L297+L298</f>
        <v>0</v>
      </c>
      <c r="H296" s="285">
        <f>IF('INGRESO DE DATOS'!F114&gt;=2,'INGRESO DE DATOS'!F114*10000,IF('INGRESO DE DATOS'!E114&lt;10000,'INGRESO DE DATOS'!E114,IF('INGRESO DE DATOS'!E114&gt;=10000,10000,0)))</f>
        <v>0</v>
      </c>
      <c r="I296" s="286">
        <f>IF('INGRESO DE DATOS'!F114&gt;=2,'INGRESO DE DATOS'!F114*3000,IF('INGRESO DE DATOS'!E114&gt;12000,3000,IF('INGRESO DE DATOS'!E114=12000,2000,IF('INGRESO DE DATOS'!E114&lt;12000,0))))</f>
        <v>0</v>
      </c>
      <c r="J296" s="287">
        <f>+G296-H296-I296-L296-L297-L298</f>
        <v>0</v>
      </c>
      <c r="K296" s="243"/>
      <c r="L296" s="235"/>
      <c r="M296" s="43"/>
    </row>
    <row r="297" spans="1:13" ht="13.5" customHeight="1" x14ac:dyDescent="0.3">
      <c r="A297" s="279"/>
      <c r="B297" s="137"/>
      <c r="C297" s="226"/>
      <c r="D297" s="280"/>
      <c r="E297" s="281"/>
      <c r="F297" s="282"/>
      <c r="G297" s="283"/>
      <c r="H297" s="285"/>
      <c r="I297" s="286"/>
      <c r="J297" s="287"/>
      <c r="K297" s="239"/>
      <c r="L297" s="234"/>
      <c r="M297" s="43"/>
    </row>
    <row r="298" spans="1:13" ht="13.5" customHeight="1" thickBot="1" x14ac:dyDescent="0.35">
      <c r="A298" s="279"/>
      <c r="B298" s="137"/>
      <c r="C298" s="226"/>
      <c r="D298" s="280"/>
      <c r="E298" s="281"/>
      <c r="F298" s="282"/>
      <c r="G298" s="283"/>
      <c r="H298" s="285"/>
      <c r="I298" s="286"/>
      <c r="J298" s="287"/>
      <c r="K298" s="241"/>
      <c r="L298" s="242"/>
      <c r="M298" s="43"/>
    </row>
    <row r="299" spans="1:13" ht="13.5" customHeight="1" x14ac:dyDescent="0.3">
      <c r="A299" s="288"/>
      <c r="B299" s="227"/>
      <c r="C299" s="228"/>
      <c r="D299" s="290"/>
      <c r="E299" s="292">
        <f>'INGRESO DE DATOS'!C115</f>
        <v>0</v>
      </c>
      <c r="F299" s="294">
        <f>'INGRESO DE DATOS'!D115</f>
        <v>0</v>
      </c>
      <c r="G299" s="296">
        <f>IF('INGRESO DE DATOS'!F115&gt;=2,'INGRESO DE DATOS'!E115*'INGRESO DE DATOS'!F115,IF('INGRESO DE DATOS'!F115&lt;2,'INGRESO DE DATOS'!E115,0))+L299+L300+L301</f>
        <v>0</v>
      </c>
      <c r="H299" s="297">
        <f>IF('INGRESO DE DATOS'!F115&gt;=2,'INGRESO DE DATOS'!F115*10000,IF('INGRESO DE DATOS'!E115&lt;10000,'INGRESO DE DATOS'!E115,IF('INGRESO DE DATOS'!E115&gt;=10000,10000,0)))</f>
        <v>0</v>
      </c>
      <c r="I299" s="299">
        <f>IF('INGRESO DE DATOS'!F115&gt;=2,'INGRESO DE DATOS'!F115*3000,IF('INGRESO DE DATOS'!E115&gt;12000,3000,IF('INGRESO DE DATOS'!E115=12000,2000,IF('INGRESO DE DATOS'!E115&lt;12000,0))))</f>
        <v>0</v>
      </c>
      <c r="J299" s="301">
        <f>+G299-H299-I299-L299-L300-L301</f>
        <v>0</v>
      </c>
      <c r="K299" s="238"/>
      <c r="L299" s="233"/>
      <c r="M299" s="43"/>
    </row>
    <row r="300" spans="1:13" ht="13.5" customHeight="1" x14ac:dyDescent="0.3">
      <c r="A300" s="279"/>
      <c r="B300" s="137"/>
      <c r="C300" s="226"/>
      <c r="D300" s="280"/>
      <c r="E300" s="281"/>
      <c r="F300" s="282"/>
      <c r="G300" s="283"/>
      <c r="H300" s="285"/>
      <c r="I300" s="286"/>
      <c r="J300" s="287"/>
      <c r="K300" s="239"/>
      <c r="L300" s="234"/>
      <c r="M300" s="43"/>
    </row>
    <row r="301" spans="1:13" ht="13.5" customHeight="1" thickBot="1" x14ac:dyDescent="0.35">
      <c r="A301" s="289"/>
      <c r="B301" s="138"/>
      <c r="C301" s="139"/>
      <c r="D301" s="291"/>
      <c r="E301" s="293"/>
      <c r="F301" s="295"/>
      <c r="G301" s="284"/>
      <c r="H301" s="298"/>
      <c r="I301" s="300"/>
      <c r="J301" s="302"/>
      <c r="K301" s="240"/>
      <c r="L301" s="236"/>
      <c r="M301" s="43"/>
    </row>
    <row r="302" spans="1:13" ht="13.5" customHeight="1" x14ac:dyDescent="0.3">
      <c r="A302" s="279"/>
      <c r="B302" s="137"/>
      <c r="C302" s="226"/>
      <c r="D302" s="280"/>
      <c r="E302" s="281">
        <f>'INGRESO DE DATOS'!C116</f>
        <v>0</v>
      </c>
      <c r="F302" s="282">
        <f>'INGRESO DE DATOS'!D116</f>
        <v>0</v>
      </c>
      <c r="G302" s="283">
        <f>IF('INGRESO DE DATOS'!F116&gt;=2,'INGRESO DE DATOS'!E116*'INGRESO DE DATOS'!F116,IF('INGRESO DE DATOS'!F116&lt;2,'INGRESO DE DATOS'!E116,0))+L302+L303+L304</f>
        <v>0</v>
      </c>
      <c r="H302" s="285">
        <f>IF('INGRESO DE DATOS'!F116&gt;=2,'INGRESO DE DATOS'!F116*10000,IF('INGRESO DE DATOS'!E116&lt;10000,'INGRESO DE DATOS'!E116,IF('INGRESO DE DATOS'!E116&gt;=10000,10000,0)))</f>
        <v>0</v>
      </c>
      <c r="I302" s="286">
        <f>IF('INGRESO DE DATOS'!F116&gt;=2,'INGRESO DE DATOS'!F116*3000,IF('INGRESO DE DATOS'!E116&gt;12000,3000,IF('INGRESO DE DATOS'!E116=12000,2000,IF('INGRESO DE DATOS'!E116&lt;12000,0))))</f>
        <v>0</v>
      </c>
      <c r="J302" s="287">
        <f>+G302-H302-I302-L302-L303-L304</f>
        <v>0</v>
      </c>
      <c r="K302" s="243"/>
      <c r="L302" s="235"/>
      <c r="M302" s="43"/>
    </row>
    <row r="303" spans="1:13" ht="13.5" customHeight="1" x14ac:dyDescent="0.3">
      <c r="A303" s="279"/>
      <c r="B303" s="137"/>
      <c r="C303" s="226"/>
      <c r="D303" s="280"/>
      <c r="E303" s="281"/>
      <c r="F303" s="282"/>
      <c r="G303" s="283"/>
      <c r="H303" s="285"/>
      <c r="I303" s="286"/>
      <c r="J303" s="287"/>
      <c r="K303" s="239"/>
      <c r="L303" s="234"/>
      <c r="M303" s="43"/>
    </row>
    <row r="304" spans="1:13" ht="13.5" customHeight="1" thickBot="1" x14ac:dyDescent="0.35">
      <c r="A304" s="279"/>
      <c r="B304" s="137"/>
      <c r="C304" s="226"/>
      <c r="D304" s="280"/>
      <c r="E304" s="281"/>
      <c r="F304" s="282"/>
      <c r="G304" s="283"/>
      <c r="H304" s="285"/>
      <c r="I304" s="286"/>
      <c r="J304" s="287"/>
      <c r="K304" s="241"/>
      <c r="L304" s="242"/>
      <c r="M304" s="43"/>
    </row>
    <row r="305" spans="1:13" ht="13.5" customHeight="1" x14ac:dyDescent="0.3">
      <c r="A305" s="288"/>
      <c r="B305" s="227"/>
      <c r="C305" s="228"/>
      <c r="D305" s="290"/>
      <c r="E305" s="292">
        <f>'INGRESO DE DATOS'!C117</f>
        <v>0</v>
      </c>
      <c r="F305" s="294">
        <f>'INGRESO DE DATOS'!D117</f>
        <v>0</v>
      </c>
      <c r="G305" s="296">
        <f>IF('INGRESO DE DATOS'!F117&gt;=2,'INGRESO DE DATOS'!E117*'INGRESO DE DATOS'!F117,IF('INGRESO DE DATOS'!F117&lt;2,'INGRESO DE DATOS'!E117,0))+L305+L306+L307</f>
        <v>0</v>
      </c>
      <c r="H305" s="297">
        <f>IF('INGRESO DE DATOS'!F117&gt;=2,'INGRESO DE DATOS'!F117*10000,IF('INGRESO DE DATOS'!E117&lt;10000,'INGRESO DE DATOS'!E117,IF('INGRESO DE DATOS'!E117&gt;=10000,10000,0)))</f>
        <v>0</v>
      </c>
      <c r="I305" s="299">
        <f>IF('INGRESO DE DATOS'!F117&gt;=2,'INGRESO DE DATOS'!F117*3000,IF('INGRESO DE DATOS'!E117&gt;12000,3000,IF('INGRESO DE DATOS'!E117=12000,2000,IF('INGRESO DE DATOS'!E117&lt;12000,0))))</f>
        <v>0</v>
      </c>
      <c r="J305" s="301">
        <f>+G305-H305-I305-L305-L306-L307</f>
        <v>0</v>
      </c>
      <c r="K305" s="238"/>
      <c r="L305" s="233"/>
      <c r="M305" s="43"/>
    </row>
    <row r="306" spans="1:13" ht="13.5" customHeight="1" x14ac:dyDescent="0.3">
      <c r="A306" s="279"/>
      <c r="B306" s="137"/>
      <c r="C306" s="226"/>
      <c r="D306" s="280"/>
      <c r="E306" s="281"/>
      <c r="F306" s="282"/>
      <c r="G306" s="283"/>
      <c r="H306" s="285"/>
      <c r="I306" s="286"/>
      <c r="J306" s="287"/>
      <c r="K306" s="239"/>
      <c r="L306" s="234"/>
      <c r="M306" s="43"/>
    </row>
    <row r="307" spans="1:13" ht="13.5" customHeight="1" thickBot="1" x14ac:dyDescent="0.35">
      <c r="A307" s="289"/>
      <c r="B307" s="138"/>
      <c r="C307" s="139"/>
      <c r="D307" s="291"/>
      <c r="E307" s="293"/>
      <c r="F307" s="295"/>
      <c r="G307" s="284"/>
      <c r="H307" s="298"/>
      <c r="I307" s="300"/>
      <c r="J307" s="302"/>
      <c r="K307" s="240"/>
      <c r="L307" s="236"/>
      <c r="M307" s="43"/>
    </row>
    <row r="308" spans="1:13" ht="13.5" customHeight="1" x14ac:dyDescent="0.3">
      <c r="A308" s="279"/>
      <c r="B308" s="137"/>
      <c r="C308" s="226"/>
      <c r="D308" s="280"/>
      <c r="E308" s="281">
        <f>'INGRESO DE DATOS'!C118</f>
        <v>0</v>
      </c>
      <c r="F308" s="282">
        <f>'INGRESO DE DATOS'!D118</f>
        <v>0</v>
      </c>
      <c r="G308" s="283">
        <f>IF('INGRESO DE DATOS'!F118&gt;=2,'INGRESO DE DATOS'!E118*'INGRESO DE DATOS'!F118,IF('INGRESO DE DATOS'!F118&lt;2,'INGRESO DE DATOS'!E118,0))+L308+L309+L310</f>
        <v>0</v>
      </c>
      <c r="H308" s="285">
        <f>IF('INGRESO DE DATOS'!F118&gt;=2,'INGRESO DE DATOS'!F118*10000,IF('INGRESO DE DATOS'!E118&lt;10000,'INGRESO DE DATOS'!E118,IF('INGRESO DE DATOS'!E118&gt;=10000,10000,0)))</f>
        <v>0</v>
      </c>
      <c r="I308" s="286">
        <f>IF('INGRESO DE DATOS'!F118&gt;=2,'INGRESO DE DATOS'!F118*3000,IF('INGRESO DE DATOS'!E118&gt;12000,3000,IF('INGRESO DE DATOS'!E118=12000,2000,IF('INGRESO DE DATOS'!E118&lt;12000,0))))</f>
        <v>0</v>
      </c>
      <c r="J308" s="287">
        <f>+G308-H308-I308-L308-L309-L310</f>
        <v>0</v>
      </c>
      <c r="K308" s="243"/>
      <c r="L308" s="235"/>
      <c r="M308" s="43"/>
    </row>
    <row r="309" spans="1:13" ht="13.5" customHeight="1" x14ac:dyDescent="0.3">
      <c r="A309" s="279"/>
      <c r="B309" s="137"/>
      <c r="C309" s="226"/>
      <c r="D309" s="280"/>
      <c r="E309" s="281"/>
      <c r="F309" s="282"/>
      <c r="G309" s="283"/>
      <c r="H309" s="285"/>
      <c r="I309" s="286"/>
      <c r="J309" s="287"/>
      <c r="K309" s="239"/>
      <c r="L309" s="234"/>
      <c r="M309" s="43"/>
    </row>
    <row r="310" spans="1:13" ht="13.5" customHeight="1" thickBot="1" x14ac:dyDescent="0.35">
      <c r="A310" s="279"/>
      <c r="B310" s="137"/>
      <c r="C310" s="226"/>
      <c r="D310" s="280"/>
      <c r="E310" s="281"/>
      <c r="F310" s="282"/>
      <c r="G310" s="283"/>
      <c r="H310" s="285"/>
      <c r="I310" s="286"/>
      <c r="J310" s="287"/>
      <c r="K310" s="241"/>
      <c r="L310" s="242"/>
      <c r="M310" s="43"/>
    </row>
    <row r="311" spans="1:13" ht="13.5" customHeight="1" x14ac:dyDescent="0.3">
      <c r="A311" s="288"/>
      <c r="B311" s="227"/>
      <c r="C311" s="228"/>
      <c r="D311" s="290"/>
      <c r="E311" s="292">
        <f>'INGRESO DE DATOS'!C119</f>
        <v>0</v>
      </c>
      <c r="F311" s="294">
        <f>'INGRESO DE DATOS'!D119</f>
        <v>0</v>
      </c>
      <c r="G311" s="296">
        <f>IF('INGRESO DE DATOS'!F119&gt;=2,'INGRESO DE DATOS'!E119*'INGRESO DE DATOS'!F119,IF('INGRESO DE DATOS'!F119&lt;2,'INGRESO DE DATOS'!E119,0))+L311+L312+L313</f>
        <v>0</v>
      </c>
      <c r="H311" s="297">
        <f>IF('INGRESO DE DATOS'!F119&gt;=2,'INGRESO DE DATOS'!F119*10000,IF('INGRESO DE DATOS'!E119&lt;10000,'INGRESO DE DATOS'!E119,IF('INGRESO DE DATOS'!E119&gt;=10000,10000,0)))</f>
        <v>0</v>
      </c>
      <c r="I311" s="299">
        <f>IF('INGRESO DE DATOS'!F119&gt;=2,'INGRESO DE DATOS'!F119*3000,IF('INGRESO DE DATOS'!E119&gt;12000,3000,IF('INGRESO DE DATOS'!E119=12000,2000,IF('INGRESO DE DATOS'!E119&lt;12000,0))))</f>
        <v>0</v>
      </c>
      <c r="J311" s="301">
        <f>+G311-H311-I311-L311-L312-L313</f>
        <v>0</v>
      </c>
      <c r="K311" s="238"/>
      <c r="L311" s="233"/>
      <c r="M311" s="43"/>
    </row>
    <row r="312" spans="1:13" ht="13.5" customHeight="1" x14ac:dyDescent="0.3">
      <c r="A312" s="279"/>
      <c r="B312" s="137"/>
      <c r="C312" s="226"/>
      <c r="D312" s="280"/>
      <c r="E312" s="281"/>
      <c r="F312" s="282"/>
      <c r="G312" s="283"/>
      <c r="H312" s="285"/>
      <c r="I312" s="286"/>
      <c r="J312" s="287"/>
      <c r="K312" s="239"/>
      <c r="L312" s="234"/>
      <c r="M312" s="43"/>
    </row>
    <row r="313" spans="1:13" ht="13.5" customHeight="1" thickBot="1" x14ac:dyDescent="0.35">
      <c r="A313" s="289"/>
      <c r="B313" s="138"/>
      <c r="C313" s="139"/>
      <c r="D313" s="291"/>
      <c r="E313" s="293"/>
      <c r="F313" s="295"/>
      <c r="G313" s="284"/>
      <c r="H313" s="298"/>
      <c r="I313" s="300"/>
      <c r="J313" s="302"/>
      <c r="K313" s="240"/>
      <c r="L313" s="236"/>
      <c r="M313" s="43"/>
    </row>
    <row r="314" spans="1:13" ht="13.5" customHeight="1" x14ac:dyDescent="0.3">
      <c r="A314" s="279"/>
      <c r="B314" s="137"/>
      <c r="C314" s="226"/>
      <c r="D314" s="280"/>
      <c r="E314" s="281">
        <f>'INGRESO DE DATOS'!C120</f>
        <v>0</v>
      </c>
      <c r="F314" s="282">
        <f>'INGRESO DE DATOS'!D120</f>
        <v>0</v>
      </c>
      <c r="G314" s="283">
        <f>IF('INGRESO DE DATOS'!F120&gt;=2,'INGRESO DE DATOS'!E120*'INGRESO DE DATOS'!F120,IF('INGRESO DE DATOS'!F120&lt;2,'INGRESO DE DATOS'!E120,0))+L314+L315+L316</f>
        <v>0</v>
      </c>
      <c r="H314" s="285">
        <f>IF('INGRESO DE DATOS'!F120&gt;=2,'INGRESO DE DATOS'!F120*10000,IF('INGRESO DE DATOS'!E120&lt;10000,'INGRESO DE DATOS'!E120,IF('INGRESO DE DATOS'!E120&gt;=10000,10000,0)))</f>
        <v>0</v>
      </c>
      <c r="I314" s="286">
        <f>IF('INGRESO DE DATOS'!F120&gt;=2,'INGRESO DE DATOS'!F120*3000,IF('INGRESO DE DATOS'!E120&gt;12000,3000,IF('INGRESO DE DATOS'!E120=12000,2000,IF('INGRESO DE DATOS'!E120&lt;12000,0))))</f>
        <v>0</v>
      </c>
      <c r="J314" s="287">
        <f>+G314-H314-I314-L314-L315-L316</f>
        <v>0</v>
      </c>
      <c r="K314" s="243"/>
      <c r="L314" s="235"/>
      <c r="M314" s="43"/>
    </row>
    <row r="315" spans="1:13" ht="13.5" customHeight="1" x14ac:dyDescent="0.3">
      <c r="A315" s="279"/>
      <c r="B315" s="137"/>
      <c r="C315" s="226"/>
      <c r="D315" s="280"/>
      <c r="E315" s="281"/>
      <c r="F315" s="282"/>
      <c r="G315" s="283"/>
      <c r="H315" s="285"/>
      <c r="I315" s="286"/>
      <c r="J315" s="287"/>
      <c r="K315" s="239"/>
      <c r="L315" s="234"/>
      <c r="M315" s="43"/>
    </row>
    <row r="316" spans="1:13" ht="13.5" customHeight="1" thickBot="1" x14ac:dyDescent="0.35">
      <c r="A316" s="279"/>
      <c r="B316" s="137"/>
      <c r="C316" s="226"/>
      <c r="D316" s="280"/>
      <c r="E316" s="281"/>
      <c r="F316" s="282"/>
      <c r="G316" s="283"/>
      <c r="H316" s="285"/>
      <c r="I316" s="286"/>
      <c r="J316" s="287"/>
      <c r="K316" s="241"/>
      <c r="L316" s="242"/>
      <c r="M316" s="43"/>
    </row>
    <row r="317" spans="1:13" ht="13.5" customHeight="1" x14ac:dyDescent="0.3">
      <c r="A317" s="288"/>
      <c r="B317" s="227"/>
      <c r="C317" s="228"/>
      <c r="D317" s="290"/>
      <c r="E317" s="292">
        <f>'INGRESO DE DATOS'!C121</f>
        <v>0</v>
      </c>
      <c r="F317" s="294">
        <f>'INGRESO DE DATOS'!D121</f>
        <v>0</v>
      </c>
      <c r="G317" s="296">
        <f>IF('INGRESO DE DATOS'!F121&gt;=2,'INGRESO DE DATOS'!E121*'INGRESO DE DATOS'!F121,IF('INGRESO DE DATOS'!F121&lt;2,'INGRESO DE DATOS'!E121,0))+L317+L318+L319</f>
        <v>0</v>
      </c>
      <c r="H317" s="297">
        <f>IF('INGRESO DE DATOS'!F121&gt;=2,'INGRESO DE DATOS'!F121*10000,IF('INGRESO DE DATOS'!E121&lt;10000,'INGRESO DE DATOS'!E121,IF('INGRESO DE DATOS'!E121&gt;=10000,10000,0)))</f>
        <v>0</v>
      </c>
      <c r="I317" s="299">
        <f>IF('INGRESO DE DATOS'!F121&gt;=2,'INGRESO DE DATOS'!F121*3000,IF('INGRESO DE DATOS'!E121&gt;12000,3000,IF('INGRESO DE DATOS'!E121=12000,2000,IF('INGRESO DE DATOS'!E121&lt;12000,0))))</f>
        <v>0</v>
      </c>
      <c r="J317" s="301">
        <f>+G317-H317-I317-L317-L318-L319</f>
        <v>0</v>
      </c>
      <c r="K317" s="238"/>
      <c r="L317" s="233"/>
      <c r="M317" s="43"/>
    </row>
    <row r="318" spans="1:13" ht="13.5" customHeight="1" x14ac:dyDescent="0.3">
      <c r="A318" s="279"/>
      <c r="B318" s="137"/>
      <c r="C318" s="226"/>
      <c r="D318" s="280"/>
      <c r="E318" s="281"/>
      <c r="F318" s="282"/>
      <c r="G318" s="283"/>
      <c r="H318" s="285"/>
      <c r="I318" s="286"/>
      <c r="J318" s="287"/>
      <c r="K318" s="239"/>
      <c r="L318" s="234"/>
      <c r="M318" s="43"/>
    </row>
    <row r="319" spans="1:13" ht="13.5" customHeight="1" thickBot="1" x14ac:dyDescent="0.35">
      <c r="A319" s="289"/>
      <c r="B319" s="138"/>
      <c r="C319" s="139"/>
      <c r="D319" s="291"/>
      <c r="E319" s="293"/>
      <c r="F319" s="295"/>
      <c r="G319" s="284"/>
      <c r="H319" s="298"/>
      <c r="I319" s="300"/>
      <c r="J319" s="302"/>
      <c r="K319" s="240"/>
      <c r="L319" s="236"/>
      <c r="M319" s="43"/>
    </row>
    <row r="320" spans="1:13" ht="13.5" customHeight="1" x14ac:dyDescent="0.3">
      <c r="A320" s="279"/>
      <c r="B320" s="137"/>
      <c r="C320" s="226"/>
      <c r="D320" s="280"/>
      <c r="E320" s="281">
        <f>'INGRESO DE DATOS'!C122</f>
        <v>0</v>
      </c>
      <c r="F320" s="282">
        <f>'INGRESO DE DATOS'!D122</f>
        <v>0</v>
      </c>
      <c r="G320" s="283">
        <f>IF('INGRESO DE DATOS'!F122&gt;=2,'INGRESO DE DATOS'!E122*'INGRESO DE DATOS'!F122,IF('INGRESO DE DATOS'!F122&lt;2,'INGRESO DE DATOS'!E122,0))+L320+L321+L322</f>
        <v>0</v>
      </c>
      <c r="H320" s="285">
        <f>IF('INGRESO DE DATOS'!F122&gt;=2,'INGRESO DE DATOS'!F122*10000,IF('INGRESO DE DATOS'!E122&lt;10000,'INGRESO DE DATOS'!E122,IF('INGRESO DE DATOS'!E122&gt;=10000,10000,0)))</f>
        <v>0</v>
      </c>
      <c r="I320" s="286">
        <f>IF('INGRESO DE DATOS'!F122&gt;=2,'INGRESO DE DATOS'!F122*3000,IF('INGRESO DE DATOS'!E122&gt;12000,3000,IF('INGRESO DE DATOS'!E122=12000,2000,IF('INGRESO DE DATOS'!E122&lt;12000,0))))</f>
        <v>0</v>
      </c>
      <c r="J320" s="287">
        <f>+G320-H320-I320-L320-L321-L322</f>
        <v>0</v>
      </c>
      <c r="K320" s="243"/>
      <c r="L320" s="235"/>
      <c r="M320" s="43"/>
    </row>
    <row r="321" spans="1:13" ht="13.5" customHeight="1" x14ac:dyDescent="0.3">
      <c r="A321" s="279"/>
      <c r="B321" s="137"/>
      <c r="C321" s="226"/>
      <c r="D321" s="280"/>
      <c r="E321" s="281"/>
      <c r="F321" s="282"/>
      <c r="G321" s="283"/>
      <c r="H321" s="285"/>
      <c r="I321" s="286"/>
      <c r="J321" s="287"/>
      <c r="K321" s="239"/>
      <c r="L321" s="234"/>
      <c r="M321" s="43"/>
    </row>
    <row r="322" spans="1:13" ht="13.5" customHeight="1" thickBot="1" x14ac:dyDescent="0.35">
      <c r="A322" s="279"/>
      <c r="B322" s="137"/>
      <c r="C322" s="226"/>
      <c r="D322" s="280"/>
      <c r="E322" s="281"/>
      <c r="F322" s="282"/>
      <c r="G322" s="283"/>
      <c r="H322" s="285"/>
      <c r="I322" s="286"/>
      <c r="J322" s="287"/>
      <c r="K322" s="241"/>
      <c r="L322" s="242"/>
      <c r="M322" s="43"/>
    </row>
    <row r="323" spans="1:13" ht="13.5" customHeight="1" x14ac:dyDescent="0.3">
      <c r="A323" s="288"/>
      <c r="B323" s="227"/>
      <c r="C323" s="228"/>
      <c r="D323" s="290"/>
      <c r="E323" s="292">
        <f>'INGRESO DE DATOS'!C123</f>
        <v>0</v>
      </c>
      <c r="F323" s="294">
        <f>'INGRESO DE DATOS'!D123</f>
        <v>0</v>
      </c>
      <c r="G323" s="296">
        <f>IF('INGRESO DE DATOS'!F123&gt;=2,'INGRESO DE DATOS'!E123*'INGRESO DE DATOS'!F123,IF('INGRESO DE DATOS'!F123&lt;2,'INGRESO DE DATOS'!E123,0))+L323+L324+L325</f>
        <v>0</v>
      </c>
      <c r="H323" s="297">
        <f>IF('INGRESO DE DATOS'!F123&gt;=2,'INGRESO DE DATOS'!F123*10000,IF('INGRESO DE DATOS'!E123&lt;10000,'INGRESO DE DATOS'!E123,IF('INGRESO DE DATOS'!E123&gt;=10000,10000,0)))</f>
        <v>0</v>
      </c>
      <c r="I323" s="299">
        <f>IF('INGRESO DE DATOS'!F123&gt;=2,'INGRESO DE DATOS'!F123*3000,IF('INGRESO DE DATOS'!E123&gt;12000,3000,IF('INGRESO DE DATOS'!E123=12000,2000,IF('INGRESO DE DATOS'!E123&lt;12000,0))))</f>
        <v>0</v>
      </c>
      <c r="J323" s="301">
        <f>+G323-H323-I323-L323-L324-L325</f>
        <v>0</v>
      </c>
      <c r="K323" s="238"/>
      <c r="L323" s="233"/>
      <c r="M323" s="43"/>
    </row>
    <row r="324" spans="1:13" ht="13.5" customHeight="1" x14ac:dyDescent="0.3">
      <c r="A324" s="279"/>
      <c r="B324" s="137"/>
      <c r="C324" s="226"/>
      <c r="D324" s="280"/>
      <c r="E324" s="281"/>
      <c r="F324" s="282"/>
      <c r="G324" s="283"/>
      <c r="H324" s="285"/>
      <c r="I324" s="286"/>
      <c r="J324" s="287"/>
      <c r="K324" s="239"/>
      <c r="L324" s="234"/>
      <c r="M324" s="43"/>
    </row>
    <row r="325" spans="1:13" ht="13.5" customHeight="1" thickBot="1" x14ac:dyDescent="0.35">
      <c r="A325" s="289"/>
      <c r="B325" s="138"/>
      <c r="C325" s="139"/>
      <c r="D325" s="291"/>
      <c r="E325" s="293"/>
      <c r="F325" s="295"/>
      <c r="G325" s="284"/>
      <c r="H325" s="298"/>
      <c r="I325" s="300"/>
      <c r="J325" s="302"/>
      <c r="K325" s="240"/>
      <c r="L325" s="236"/>
      <c r="M325" s="43"/>
    </row>
    <row r="326" spans="1:13" ht="13.5" customHeight="1" x14ac:dyDescent="0.3">
      <c r="A326" s="279"/>
      <c r="B326" s="137"/>
      <c r="C326" s="226"/>
      <c r="D326" s="280"/>
      <c r="E326" s="281">
        <f>'INGRESO DE DATOS'!C124</f>
        <v>0</v>
      </c>
      <c r="F326" s="282">
        <f>'INGRESO DE DATOS'!D124</f>
        <v>0</v>
      </c>
      <c r="G326" s="283">
        <f>IF('INGRESO DE DATOS'!F124&gt;=2,'INGRESO DE DATOS'!E124*'INGRESO DE DATOS'!F124,IF('INGRESO DE DATOS'!F124&lt;2,'INGRESO DE DATOS'!E124,0))+L326+L327+L328</f>
        <v>0</v>
      </c>
      <c r="H326" s="285">
        <f>IF('INGRESO DE DATOS'!F124&gt;=2,'INGRESO DE DATOS'!F124*10000,IF('INGRESO DE DATOS'!E124&lt;10000,'INGRESO DE DATOS'!E124,IF('INGRESO DE DATOS'!E124&gt;=10000,10000,0)))</f>
        <v>0</v>
      </c>
      <c r="I326" s="286">
        <f>IF('INGRESO DE DATOS'!F124&gt;=2,'INGRESO DE DATOS'!F124*3000,IF('INGRESO DE DATOS'!E124&gt;12000,3000,IF('INGRESO DE DATOS'!E124=12000,2000,IF('INGRESO DE DATOS'!E124&lt;12000,0))))</f>
        <v>0</v>
      </c>
      <c r="J326" s="287">
        <f>+G326-H326-I326-L326-L327-L328</f>
        <v>0</v>
      </c>
      <c r="K326" s="243"/>
      <c r="L326" s="235"/>
      <c r="M326" s="43"/>
    </row>
    <row r="327" spans="1:13" ht="13.5" customHeight="1" x14ac:dyDescent="0.3">
      <c r="A327" s="279"/>
      <c r="B327" s="137"/>
      <c r="C327" s="226"/>
      <c r="D327" s="280"/>
      <c r="E327" s="281"/>
      <c r="F327" s="282"/>
      <c r="G327" s="283"/>
      <c r="H327" s="285"/>
      <c r="I327" s="286"/>
      <c r="J327" s="287"/>
      <c r="K327" s="239"/>
      <c r="L327" s="234"/>
      <c r="M327" s="43"/>
    </row>
    <row r="328" spans="1:13" ht="13.5" customHeight="1" thickBot="1" x14ac:dyDescent="0.35">
      <c r="A328" s="279"/>
      <c r="B328" s="137"/>
      <c r="C328" s="226"/>
      <c r="D328" s="280"/>
      <c r="E328" s="281"/>
      <c r="F328" s="282"/>
      <c r="G328" s="283"/>
      <c r="H328" s="285"/>
      <c r="I328" s="286"/>
      <c r="J328" s="287"/>
      <c r="K328" s="241"/>
      <c r="L328" s="242"/>
      <c r="M328" s="43"/>
    </row>
    <row r="329" spans="1:13" ht="13.5" customHeight="1" x14ac:dyDescent="0.3">
      <c r="A329" s="288"/>
      <c r="B329" s="227"/>
      <c r="C329" s="228"/>
      <c r="D329" s="290"/>
      <c r="E329" s="292">
        <f>'INGRESO DE DATOS'!C125</f>
        <v>0</v>
      </c>
      <c r="F329" s="294">
        <f>'INGRESO DE DATOS'!D125</f>
        <v>0</v>
      </c>
      <c r="G329" s="296">
        <f>IF('INGRESO DE DATOS'!F125&gt;=2,'INGRESO DE DATOS'!E125*'INGRESO DE DATOS'!F125,IF('INGRESO DE DATOS'!F125&lt;2,'INGRESO DE DATOS'!E125,0))+L329+L330+L331</f>
        <v>0</v>
      </c>
      <c r="H329" s="297">
        <f>IF('INGRESO DE DATOS'!F125&gt;=2,'INGRESO DE DATOS'!F125*10000,IF('INGRESO DE DATOS'!E125&lt;10000,'INGRESO DE DATOS'!E125,IF('INGRESO DE DATOS'!E125&gt;=10000,10000,0)))</f>
        <v>0</v>
      </c>
      <c r="I329" s="299">
        <f>IF('INGRESO DE DATOS'!F125&gt;=2,'INGRESO DE DATOS'!F125*3000,IF('INGRESO DE DATOS'!E125&gt;12000,3000,IF('INGRESO DE DATOS'!E125=12000,2000,IF('INGRESO DE DATOS'!E125&lt;12000,0))))</f>
        <v>0</v>
      </c>
      <c r="J329" s="301">
        <f>+G329-H329-I329-L329-L330-L331</f>
        <v>0</v>
      </c>
      <c r="K329" s="238"/>
      <c r="L329" s="233"/>
      <c r="M329" s="43"/>
    </row>
    <row r="330" spans="1:13" ht="13.5" customHeight="1" x14ac:dyDescent="0.3">
      <c r="A330" s="279"/>
      <c r="B330" s="137"/>
      <c r="C330" s="226"/>
      <c r="D330" s="280"/>
      <c r="E330" s="281"/>
      <c r="F330" s="282"/>
      <c r="G330" s="283"/>
      <c r="H330" s="285"/>
      <c r="I330" s="286"/>
      <c r="J330" s="287"/>
      <c r="K330" s="239"/>
      <c r="L330" s="234"/>
      <c r="M330" s="43"/>
    </row>
    <row r="331" spans="1:13" ht="13.5" customHeight="1" thickBot="1" x14ac:dyDescent="0.35">
      <c r="A331" s="289"/>
      <c r="B331" s="138"/>
      <c r="C331" s="139"/>
      <c r="D331" s="291"/>
      <c r="E331" s="293"/>
      <c r="F331" s="295"/>
      <c r="G331" s="284"/>
      <c r="H331" s="298"/>
      <c r="I331" s="300"/>
      <c r="J331" s="302"/>
      <c r="K331" s="240"/>
      <c r="L331" s="236"/>
      <c r="M331" s="43"/>
    </row>
    <row r="332" spans="1:13" ht="13.5" customHeight="1" x14ac:dyDescent="0.3">
      <c r="A332" s="279"/>
      <c r="B332" s="137"/>
      <c r="C332" s="226"/>
      <c r="D332" s="280"/>
      <c r="E332" s="281">
        <f>'INGRESO DE DATOS'!C126</f>
        <v>0</v>
      </c>
      <c r="F332" s="282">
        <f>'INGRESO DE DATOS'!D126</f>
        <v>0</v>
      </c>
      <c r="G332" s="283">
        <f>IF('INGRESO DE DATOS'!F126&gt;=2,'INGRESO DE DATOS'!E126*'INGRESO DE DATOS'!F126,IF('INGRESO DE DATOS'!F126&lt;2,'INGRESO DE DATOS'!E126,0))+L332+L333+L334</f>
        <v>0</v>
      </c>
      <c r="H332" s="285">
        <f>IF('INGRESO DE DATOS'!F126&gt;=2,'INGRESO DE DATOS'!F126*10000,IF('INGRESO DE DATOS'!E126&lt;10000,'INGRESO DE DATOS'!E126,IF('INGRESO DE DATOS'!E126&gt;=10000,10000,0)))</f>
        <v>0</v>
      </c>
      <c r="I332" s="286">
        <f>IF('INGRESO DE DATOS'!F126&gt;=2,'INGRESO DE DATOS'!F126*3000,IF('INGRESO DE DATOS'!E126&gt;12000,3000,IF('INGRESO DE DATOS'!E126=12000,2000,IF('INGRESO DE DATOS'!E126&lt;12000,0))))</f>
        <v>0</v>
      </c>
      <c r="J332" s="287">
        <f>+G332-H332-I332-L332-L333-L334</f>
        <v>0</v>
      </c>
      <c r="K332" s="243"/>
      <c r="L332" s="235"/>
      <c r="M332" s="43"/>
    </row>
    <row r="333" spans="1:13" ht="13.5" customHeight="1" x14ac:dyDescent="0.3">
      <c r="A333" s="279"/>
      <c r="B333" s="137"/>
      <c r="C333" s="226"/>
      <c r="D333" s="280"/>
      <c r="E333" s="281"/>
      <c r="F333" s="282"/>
      <c r="G333" s="283"/>
      <c r="H333" s="285"/>
      <c r="I333" s="286"/>
      <c r="J333" s="287"/>
      <c r="K333" s="239"/>
      <c r="L333" s="234"/>
      <c r="M333" s="43"/>
    </row>
    <row r="334" spans="1:13" ht="13.5" customHeight="1" thickBot="1" x14ac:dyDescent="0.35">
      <c r="A334" s="279"/>
      <c r="B334" s="137"/>
      <c r="C334" s="226"/>
      <c r="D334" s="280"/>
      <c r="E334" s="281"/>
      <c r="F334" s="282"/>
      <c r="G334" s="283"/>
      <c r="H334" s="285"/>
      <c r="I334" s="286"/>
      <c r="J334" s="287"/>
      <c r="K334" s="241"/>
      <c r="L334" s="242"/>
      <c r="M334" s="43"/>
    </row>
    <row r="335" spans="1:13" ht="13.5" customHeight="1" x14ac:dyDescent="0.3">
      <c r="A335" s="288"/>
      <c r="B335" s="227"/>
      <c r="C335" s="228"/>
      <c r="D335" s="290"/>
      <c r="E335" s="292">
        <f>'INGRESO DE DATOS'!C127</f>
        <v>0</v>
      </c>
      <c r="F335" s="294">
        <f>'INGRESO DE DATOS'!D127</f>
        <v>0</v>
      </c>
      <c r="G335" s="296">
        <f>IF('INGRESO DE DATOS'!F127&gt;=2,'INGRESO DE DATOS'!E127*'INGRESO DE DATOS'!F127,IF('INGRESO DE DATOS'!F127&lt;2,'INGRESO DE DATOS'!E127,0))+L335+L336+L337</f>
        <v>0</v>
      </c>
      <c r="H335" s="297">
        <f>IF('INGRESO DE DATOS'!F127&gt;=2,'INGRESO DE DATOS'!F127*10000,IF('INGRESO DE DATOS'!E127&lt;10000,'INGRESO DE DATOS'!E127,IF('INGRESO DE DATOS'!E127&gt;=10000,10000,0)))</f>
        <v>0</v>
      </c>
      <c r="I335" s="299">
        <f>IF('INGRESO DE DATOS'!F127&gt;=2,'INGRESO DE DATOS'!F127*3000,IF('INGRESO DE DATOS'!E127&gt;12000,3000,IF('INGRESO DE DATOS'!E127=12000,2000,IF('INGRESO DE DATOS'!E127&lt;12000,0))))</f>
        <v>0</v>
      </c>
      <c r="J335" s="301">
        <f>+G335-H335-I335-L335-L336-L337</f>
        <v>0</v>
      </c>
      <c r="K335" s="238"/>
      <c r="L335" s="233"/>
      <c r="M335" s="43"/>
    </row>
    <row r="336" spans="1:13" ht="13.5" customHeight="1" x14ac:dyDescent="0.3">
      <c r="A336" s="279"/>
      <c r="B336" s="137"/>
      <c r="C336" s="226"/>
      <c r="D336" s="280"/>
      <c r="E336" s="281"/>
      <c r="F336" s="282"/>
      <c r="G336" s="283"/>
      <c r="H336" s="285"/>
      <c r="I336" s="286"/>
      <c r="J336" s="287"/>
      <c r="K336" s="239"/>
      <c r="L336" s="234"/>
      <c r="M336" s="43"/>
    </row>
    <row r="337" spans="1:13" ht="13.5" customHeight="1" thickBot="1" x14ac:dyDescent="0.35">
      <c r="A337" s="289"/>
      <c r="B337" s="138"/>
      <c r="C337" s="139"/>
      <c r="D337" s="291"/>
      <c r="E337" s="293"/>
      <c r="F337" s="295"/>
      <c r="G337" s="284"/>
      <c r="H337" s="298"/>
      <c r="I337" s="300"/>
      <c r="J337" s="302"/>
      <c r="K337" s="240"/>
      <c r="L337" s="236"/>
      <c r="M337" s="43"/>
    </row>
    <row r="338" spans="1:13" ht="13.5" customHeight="1" x14ac:dyDescent="0.3">
      <c r="A338" s="279"/>
      <c r="B338" s="137"/>
      <c r="C338" s="226"/>
      <c r="D338" s="280"/>
      <c r="E338" s="281">
        <f>'INGRESO DE DATOS'!C128</f>
        <v>0</v>
      </c>
      <c r="F338" s="282">
        <f>'INGRESO DE DATOS'!D128</f>
        <v>0</v>
      </c>
      <c r="G338" s="283">
        <f>IF('INGRESO DE DATOS'!F128&gt;=2,'INGRESO DE DATOS'!E128*'INGRESO DE DATOS'!F128,IF('INGRESO DE DATOS'!F128&lt;2,'INGRESO DE DATOS'!E128,0))+L338+L339+L340</f>
        <v>0</v>
      </c>
      <c r="H338" s="285">
        <f>IF('INGRESO DE DATOS'!F128&gt;=2,'INGRESO DE DATOS'!F128*10000,IF('INGRESO DE DATOS'!E128&lt;10000,'INGRESO DE DATOS'!E128,IF('INGRESO DE DATOS'!E128&gt;=10000,10000,0)))</f>
        <v>0</v>
      </c>
      <c r="I338" s="286">
        <f>IF('INGRESO DE DATOS'!F128&gt;=2,'INGRESO DE DATOS'!F128*3000,IF('INGRESO DE DATOS'!E128&gt;12000,3000,IF('INGRESO DE DATOS'!E128=12000,2000,IF('INGRESO DE DATOS'!E128&lt;12000,0))))</f>
        <v>0</v>
      </c>
      <c r="J338" s="287">
        <f>G338-H338-I338-L338-L339-L340</f>
        <v>0</v>
      </c>
      <c r="K338" s="243"/>
      <c r="L338" s="235"/>
      <c r="M338" s="43"/>
    </row>
    <row r="339" spans="1:13" ht="13.5" customHeight="1" x14ac:dyDescent="0.3">
      <c r="A339" s="279"/>
      <c r="B339" s="137"/>
      <c r="C339" s="226"/>
      <c r="D339" s="280"/>
      <c r="E339" s="281"/>
      <c r="F339" s="282"/>
      <c r="G339" s="283"/>
      <c r="H339" s="285"/>
      <c r="I339" s="286"/>
      <c r="J339" s="287"/>
      <c r="K339" s="239"/>
      <c r="L339" s="234"/>
      <c r="M339" s="43"/>
    </row>
    <row r="340" spans="1:13" ht="13.5" customHeight="1" thickBot="1" x14ac:dyDescent="0.35">
      <c r="A340" s="279"/>
      <c r="B340" s="137"/>
      <c r="C340" s="226"/>
      <c r="D340" s="280"/>
      <c r="E340" s="281"/>
      <c r="F340" s="282"/>
      <c r="G340" s="283"/>
      <c r="H340" s="285"/>
      <c r="I340" s="286"/>
      <c r="J340" s="287"/>
      <c r="K340" s="241"/>
      <c r="L340" s="242"/>
      <c r="M340" s="43"/>
    </row>
    <row r="341" spans="1:13" ht="13.5" customHeight="1" x14ac:dyDescent="0.3">
      <c r="A341" s="288"/>
      <c r="B341" s="227"/>
      <c r="C341" s="228"/>
      <c r="D341" s="290"/>
      <c r="E341" s="292">
        <f>'INGRESO DE DATOS'!C129</f>
        <v>0</v>
      </c>
      <c r="F341" s="294">
        <f>'INGRESO DE DATOS'!D129</f>
        <v>0</v>
      </c>
      <c r="G341" s="296">
        <f>IF('INGRESO DE DATOS'!F129&gt;=2,'INGRESO DE DATOS'!E129*'INGRESO DE DATOS'!F129,IF('INGRESO DE DATOS'!F129&lt;2,'INGRESO DE DATOS'!E129,0))+L341+L342+L343</f>
        <v>0</v>
      </c>
      <c r="H341" s="297">
        <f>IF('INGRESO DE DATOS'!F129&gt;=2,'INGRESO DE DATOS'!F129*10000,IF('INGRESO DE DATOS'!E129&lt;10000,'INGRESO DE DATOS'!E129,IF('INGRESO DE DATOS'!E129&gt;=10000,10000,0)))</f>
        <v>0</v>
      </c>
      <c r="I341" s="299">
        <f>IF('INGRESO DE DATOS'!F129&gt;=2,'INGRESO DE DATOS'!F129*3000,IF('INGRESO DE DATOS'!E129&gt;12000,3000,IF('INGRESO DE DATOS'!E129=12000,2000,IF('INGRESO DE DATOS'!E129&lt;12000,0))))</f>
        <v>0</v>
      </c>
      <c r="J341" s="301">
        <f>G341-H341-I341-L341-L342-L343</f>
        <v>0</v>
      </c>
      <c r="K341" s="238"/>
      <c r="L341" s="233"/>
      <c r="M341" s="43"/>
    </row>
    <row r="342" spans="1:13" ht="13.5" customHeight="1" x14ac:dyDescent="0.3">
      <c r="A342" s="279"/>
      <c r="B342" s="137"/>
      <c r="C342" s="226"/>
      <c r="D342" s="280"/>
      <c r="E342" s="281"/>
      <c r="F342" s="282"/>
      <c r="G342" s="283"/>
      <c r="H342" s="285"/>
      <c r="I342" s="286"/>
      <c r="J342" s="287"/>
      <c r="K342" s="239"/>
      <c r="L342" s="234"/>
      <c r="M342" s="43"/>
    </row>
    <row r="343" spans="1:13" ht="13.5" customHeight="1" thickBot="1" x14ac:dyDescent="0.35">
      <c r="A343" s="289"/>
      <c r="B343" s="138"/>
      <c r="C343" s="139"/>
      <c r="D343" s="291"/>
      <c r="E343" s="293"/>
      <c r="F343" s="295"/>
      <c r="G343" s="284"/>
      <c r="H343" s="298"/>
      <c r="I343" s="300"/>
      <c r="J343" s="302"/>
      <c r="K343" s="240"/>
      <c r="L343" s="236"/>
      <c r="M343" s="43"/>
    </row>
    <row r="344" spans="1:13" ht="13.5" customHeight="1" x14ac:dyDescent="0.3">
      <c r="A344" s="279"/>
      <c r="B344" s="137"/>
      <c r="C344" s="226"/>
      <c r="D344" s="280"/>
      <c r="E344" s="281">
        <f>'INGRESO DE DATOS'!C130</f>
        <v>0</v>
      </c>
      <c r="F344" s="282">
        <f>'INGRESO DE DATOS'!D130</f>
        <v>0</v>
      </c>
      <c r="G344" s="283">
        <f>IF('INGRESO DE DATOS'!F130&gt;=2,'INGRESO DE DATOS'!E130*'INGRESO DE DATOS'!F130,IF('INGRESO DE DATOS'!F130&lt;2,'INGRESO DE DATOS'!E130,0))+L344+L345+L346</f>
        <v>0</v>
      </c>
      <c r="H344" s="285">
        <f>IF('INGRESO DE DATOS'!F130&gt;=2,'INGRESO DE DATOS'!F130*10000,IF('INGRESO DE DATOS'!E130&lt;10000,'INGRESO DE DATOS'!E130,IF('INGRESO DE DATOS'!E130&gt;=10000,10000,0)))</f>
        <v>0</v>
      </c>
      <c r="I344" s="286">
        <f>IF('INGRESO DE DATOS'!F130&gt;=2,'INGRESO DE DATOS'!F130*3000,IF('INGRESO DE DATOS'!E130&gt;12000,3000,IF('INGRESO DE DATOS'!E130=12000,2000,IF('INGRESO DE DATOS'!E130&lt;12000,0))))</f>
        <v>0</v>
      </c>
      <c r="J344" s="287">
        <f>G344-H344-I344-L344-L345-L346</f>
        <v>0</v>
      </c>
      <c r="K344" s="243"/>
      <c r="L344" s="235"/>
      <c r="M344" s="43"/>
    </row>
    <row r="345" spans="1:13" ht="13.5" customHeight="1" x14ac:dyDescent="0.3">
      <c r="A345" s="279"/>
      <c r="B345" s="137"/>
      <c r="C345" s="226"/>
      <c r="D345" s="280"/>
      <c r="E345" s="281"/>
      <c r="F345" s="282"/>
      <c r="G345" s="283"/>
      <c r="H345" s="285"/>
      <c r="I345" s="286"/>
      <c r="J345" s="287"/>
      <c r="K345" s="239"/>
      <c r="L345" s="234"/>
      <c r="M345" s="43"/>
    </row>
    <row r="346" spans="1:13" ht="13.5" customHeight="1" thickBot="1" x14ac:dyDescent="0.35">
      <c r="A346" s="279"/>
      <c r="B346" s="137"/>
      <c r="C346" s="226"/>
      <c r="D346" s="280"/>
      <c r="E346" s="281"/>
      <c r="F346" s="282"/>
      <c r="G346" s="283"/>
      <c r="H346" s="285"/>
      <c r="I346" s="286"/>
      <c r="J346" s="287"/>
      <c r="K346" s="241"/>
      <c r="L346" s="242"/>
      <c r="M346" s="43"/>
    </row>
    <row r="347" spans="1:13" ht="13.5" customHeight="1" x14ac:dyDescent="0.3">
      <c r="A347" s="288"/>
      <c r="B347" s="227"/>
      <c r="C347" s="228"/>
      <c r="D347" s="290"/>
      <c r="E347" s="292">
        <f>'INGRESO DE DATOS'!C131</f>
        <v>0</v>
      </c>
      <c r="F347" s="294">
        <f>'INGRESO DE DATOS'!D131</f>
        <v>0</v>
      </c>
      <c r="G347" s="296">
        <f>IF('INGRESO DE DATOS'!F131&gt;=2,'INGRESO DE DATOS'!E131*'INGRESO DE DATOS'!F131,IF('INGRESO DE DATOS'!F131&lt;2,'INGRESO DE DATOS'!E131,0))+L347+L348+L349</f>
        <v>0</v>
      </c>
      <c r="H347" s="297">
        <f>IF('INGRESO DE DATOS'!F131&gt;=2,'INGRESO DE DATOS'!F131*10000,IF('INGRESO DE DATOS'!E131&lt;10000,'INGRESO DE DATOS'!E131,IF('INGRESO DE DATOS'!E131&gt;=10000,10000,0)))</f>
        <v>0</v>
      </c>
      <c r="I347" s="299">
        <f>IF('INGRESO DE DATOS'!F131&gt;=2,'INGRESO DE DATOS'!F131*3000,IF('INGRESO DE DATOS'!E131&gt;12000,3000,IF('INGRESO DE DATOS'!E131=12000,2000,IF('INGRESO DE DATOS'!E131&lt;12000,0))))</f>
        <v>0</v>
      </c>
      <c r="J347" s="301">
        <f>G347-H347-I347-L347-L348-L349</f>
        <v>0</v>
      </c>
      <c r="K347" s="238"/>
      <c r="L347" s="233"/>
      <c r="M347" s="43"/>
    </row>
    <row r="348" spans="1:13" ht="13.5" customHeight="1" x14ac:dyDescent="0.3">
      <c r="A348" s="279"/>
      <c r="B348" s="137"/>
      <c r="C348" s="226"/>
      <c r="D348" s="280"/>
      <c r="E348" s="281"/>
      <c r="F348" s="282"/>
      <c r="G348" s="283"/>
      <c r="H348" s="285"/>
      <c r="I348" s="286"/>
      <c r="J348" s="287"/>
      <c r="K348" s="239"/>
      <c r="L348" s="234"/>
      <c r="M348" s="43"/>
    </row>
    <row r="349" spans="1:13" ht="13.5" customHeight="1" thickBot="1" x14ac:dyDescent="0.35">
      <c r="A349" s="289"/>
      <c r="B349" s="138"/>
      <c r="C349" s="139"/>
      <c r="D349" s="291"/>
      <c r="E349" s="293"/>
      <c r="F349" s="295"/>
      <c r="G349" s="284"/>
      <c r="H349" s="298"/>
      <c r="I349" s="300"/>
      <c r="J349" s="302"/>
      <c r="K349" s="240"/>
      <c r="L349" s="236"/>
      <c r="M349" s="43"/>
    </row>
    <row r="350" spans="1:13" ht="13.5" customHeight="1" x14ac:dyDescent="0.3">
      <c r="A350" s="279"/>
      <c r="B350" s="137"/>
      <c r="C350" s="226"/>
      <c r="D350" s="280"/>
      <c r="E350" s="281">
        <f>'INGRESO DE DATOS'!C132</f>
        <v>0</v>
      </c>
      <c r="F350" s="282">
        <f>'INGRESO DE DATOS'!D132</f>
        <v>0</v>
      </c>
      <c r="G350" s="283">
        <f>IF('INGRESO DE DATOS'!F132&gt;=2,'INGRESO DE DATOS'!E132*'INGRESO DE DATOS'!F132,IF('INGRESO DE DATOS'!F132&lt;2,'INGRESO DE DATOS'!E132,0))+L350+L351+L352</f>
        <v>0</v>
      </c>
      <c r="H350" s="285">
        <f>IF('INGRESO DE DATOS'!F132&gt;=2,'INGRESO DE DATOS'!F132*10000,IF('INGRESO DE DATOS'!E132&lt;10000,'INGRESO DE DATOS'!E132,IF('INGRESO DE DATOS'!E132&gt;=10000,10000,0)))</f>
        <v>0</v>
      </c>
      <c r="I350" s="286">
        <f>IF('INGRESO DE DATOS'!F132&gt;=2,'INGRESO DE DATOS'!F132*3000,IF('INGRESO DE DATOS'!E132&gt;12000,3000,IF('INGRESO DE DATOS'!E132=12000,2000,IF('INGRESO DE DATOS'!E132&lt;12000,0))))</f>
        <v>0</v>
      </c>
      <c r="J350" s="287">
        <f>G350-H350-I350-L350-L351-L352</f>
        <v>0</v>
      </c>
      <c r="K350" s="243"/>
      <c r="L350" s="235"/>
      <c r="M350" s="43"/>
    </row>
    <row r="351" spans="1:13" ht="13.5" customHeight="1" x14ac:dyDescent="0.3">
      <c r="A351" s="279"/>
      <c r="B351" s="137"/>
      <c r="C351" s="226"/>
      <c r="D351" s="280"/>
      <c r="E351" s="281"/>
      <c r="F351" s="282"/>
      <c r="G351" s="283"/>
      <c r="H351" s="285"/>
      <c r="I351" s="286"/>
      <c r="J351" s="287"/>
      <c r="K351" s="239"/>
      <c r="L351" s="234"/>
      <c r="M351" s="43"/>
    </row>
    <row r="352" spans="1:13" ht="13.5" customHeight="1" thickBot="1" x14ac:dyDescent="0.35">
      <c r="A352" s="279"/>
      <c r="B352" s="137"/>
      <c r="C352" s="226"/>
      <c r="D352" s="280"/>
      <c r="E352" s="281"/>
      <c r="F352" s="282"/>
      <c r="G352" s="283"/>
      <c r="H352" s="285"/>
      <c r="I352" s="286"/>
      <c r="J352" s="287"/>
      <c r="K352" s="241"/>
      <c r="L352" s="242"/>
      <c r="M352" s="43"/>
    </row>
    <row r="353" spans="1:13" ht="13.5" customHeight="1" x14ac:dyDescent="0.3">
      <c r="A353" s="288"/>
      <c r="B353" s="227"/>
      <c r="C353" s="228"/>
      <c r="D353" s="290"/>
      <c r="E353" s="292">
        <f>'INGRESO DE DATOS'!C133</f>
        <v>0</v>
      </c>
      <c r="F353" s="294">
        <f>'INGRESO DE DATOS'!D133</f>
        <v>0</v>
      </c>
      <c r="G353" s="296">
        <f>IF('INGRESO DE DATOS'!F133&gt;=2,'INGRESO DE DATOS'!E133*'INGRESO DE DATOS'!F133,IF('INGRESO DE DATOS'!F133&lt;2,'INGRESO DE DATOS'!E133,0))+L353+L354+L355</f>
        <v>0</v>
      </c>
      <c r="H353" s="297">
        <f>IF('INGRESO DE DATOS'!F133&gt;=2,'INGRESO DE DATOS'!F133*10000,IF('INGRESO DE DATOS'!E133&lt;10000,'INGRESO DE DATOS'!E133,IF('INGRESO DE DATOS'!E133&gt;=10000,10000,0)))</f>
        <v>0</v>
      </c>
      <c r="I353" s="299">
        <f>IF('INGRESO DE DATOS'!F133&gt;=2,'INGRESO DE DATOS'!F133*3000,IF('INGRESO DE DATOS'!E133&gt;12000,3000,IF('INGRESO DE DATOS'!E133=12000,2000,IF('INGRESO DE DATOS'!E133&lt;12000,0))))</f>
        <v>0</v>
      </c>
      <c r="J353" s="301">
        <f>+G353-H353-I353-L353-L354-L355</f>
        <v>0</v>
      </c>
      <c r="K353" s="238"/>
      <c r="L353" s="233"/>
      <c r="M353" s="43"/>
    </row>
    <row r="354" spans="1:13" ht="13.5" customHeight="1" x14ac:dyDescent="0.3">
      <c r="A354" s="279"/>
      <c r="B354" s="137"/>
      <c r="C354" s="226"/>
      <c r="D354" s="280"/>
      <c r="E354" s="281"/>
      <c r="F354" s="282"/>
      <c r="G354" s="283"/>
      <c r="H354" s="285"/>
      <c r="I354" s="286"/>
      <c r="J354" s="287"/>
      <c r="K354" s="239"/>
      <c r="L354" s="234"/>
      <c r="M354" s="43"/>
    </row>
    <row r="355" spans="1:13" ht="13.5" customHeight="1" thickBot="1" x14ac:dyDescent="0.35">
      <c r="A355" s="289"/>
      <c r="B355" s="138"/>
      <c r="C355" s="139"/>
      <c r="D355" s="291"/>
      <c r="E355" s="293"/>
      <c r="F355" s="295"/>
      <c r="G355" s="284"/>
      <c r="H355" s="298"/>
      <c r="I355" s="300"/>
      <c r="J355" s="302"/>
      <c r="K355" s="240"/>
      <c r="L355" s="236"/>
      <c r="M355" s="43"/>
    </row>
    <row r="356" spans="1:13" ht="13.5" customHeight="1" x14ac:dyDescent="0.3">
      <c r="A356" s="279"/>
      <c r="B356" s="137"/>
      <c r="C356" s="226"/>
      <c r="D356" s="280"/>
      <c r="E356" s="281">
        <f>'INGRESO DE DATOS'!C134</f>
        <v>0</v>
      </c>
      <c r="F356" s="282">
        <f>'INGRESO DE DATOS'!D134</f>
        <v>0</v>
      </c>
      <c r="G356" s="283">
        <f>IF('INGRESO DE DATOS'!F134&gt;=2,'INGRESO DE DATOS'!E134*'INGRESO DE DATOS'!F134,IF('INGRESO DE DATOS'!F134&lt;2,'INGRESO DE DATOS'!E134,0))+L356+L357+L358</f>
        <v>0</v>
      </c>
      <c r="H356" s="285">
        <f>IF('INGRESO DE DATOS'!F134&gt;=2,'INGRESO DE DATOS'!F134*10000,IF('INGRESO DE DATOS'!E134&lt;10000,'INGRESO DE DATOS'!E134,IF('INGRESO DE DATOS'!E134&gt;=10000,10000,0)))</f>
        <v>0</v>
      </c>
      <c r="I356" s="286">
        <f>IF('INGRESO DE DATOS'!F134&gt;=2,'INGRESO DE DATOS'!F134*3000,IF('INGRESO DE DATOS'!E134&gt;12000,3000,IF('INGRESO DE DATOS'!E134=12000,2000,IF('INGRESO DE DATOS'!E134&lt;12000,0))))</f>
        <v>0</v>
      </c>
      <c r="J356" s="287">
        <f>+G356-H356-I356-L356-L357-L358</f>
        <v>0</v>
      </c>
      <c r="K356" s="243"/>
      <c r="L356" s="235"/>
      <c r="M356" s="43"/>
    </row>
    <row r="357" spans="1:13" ht="13.5" customHeight="1" x14ac:dyDescent="0.3">
      <c r="A357" s="279"/>
      <c r="B357" s="137"/>
      <c r="C357" s="226"/>
      <c r="D357" s="280"/>
      <c r="E357" s="281"/>
      <c r="F357" s="282"/>
      <c r="G357" s="283"/>
      <c r="H357" s="285"/>
      <c r="I357" s="286"/>
      <c r="J357" s="287"/>
      <c r="K357" s="239"/>
      <c r="L357" s="234"/>
      <c r="M357" s="43"/>
    </row>
    <row r="358" spans="1:13" ht="13.5" customHeight="1" thickBot="1" x14ac:dyDescent="0.35">
      <c r="A358" s="279"/>
      <c r="B358" s="137"/>
      <c r="C358" s="226"/>
      <c r="D358" s="280"/>
      <c r="E358" s="281"/>
      <c r="F358" s="282"/>
      <c r="G358" s="283"/>
      <c r="H358" s="285"/>
      <c r="I358" s="286"/>
      <c r="J358" s="287"/>
      <c r="K358" s="241"/>
      <c r="L358" s="242"/>
      <c r="M358" s="43"/>
    </row>
    <row r="359" spans="1:13" ht="13.5" customHeight="1" x14ac:dyDescent="0.3">
      <c r="A359" s="288"/>
      <c r="B359" s="227"/>
      <c r="C359" s="228"/>
      <c r="D359" s="290"/>
      <c r="E359" s="292">
        <f>'INGRESO DE DATOS'!C135</f>
        <v>0</v>
      </c>
      <c r="F359" s="294">
        <f>'INGRESO DE DATOS'!D135</f>
        <v>0</v>
      </c>
      <c r="G359" s="296">
        <f>IF('INGRESO DE DATOS'!F135&gt;=2,'INGRESO DE DATOS'!E135*'INGRESO DE DATOS'!F135,IF('INGRESO DE DATOS'!F135&lt;2,'INGRESO DE DATOS'!E135,0))+L359+L360+L361</f>
        <v>0</v>
      </c>
      <c r="H359" s="297">
        <f>IF('INGRESO DE DATOS'!F135&gt;=2,'INGRESO DE DATOS'!F135*10000,IF('INGRESO DE DATOS'!E135&lt;10000,'INGRESO DE DATOS'!E135,IF('INGRESO DE DATOS'!E135&gt;=10000,10000,0)))</f>
        <v>0</v>
      </c>
      <c r="I359" s="299">
        <f>IF('INGRESO DE DATOS'!F135&gt;=2,'INGRESO DE DATOS'!F135*3000,IF('INGRESO DE DATOS'!E135&gt;12000,3000,IF('INGRESO DE DATOS'!E135=12000,2000,IF('INGRESO DE DATOS'!E135&lt;12000,0))))</f>
        <v>0</v>
      </c>
      <c r="J359" s="301">
        <f>+G359-H359-I359-L359-L360-L361</f>
        <v>0</v>
      </c>
      <c r="K359" s="238"/>
      <c r="L359" s="233"/>
      <c r="M359" s="43"/>
    </row>
    <row r="360" spans="1:13" ht="13.5" customHeight="1" x14ac:dyDescent="0.3">
      <c r="A360" s="279"/>
      <c r="B360" s="137"/>
      <c r="C360" s="226"/>
      <c r="D360" s="280"/>
      <c r="E360" s="281"/>
      <c r="F360" s="282"/>
      <c r="G360" s="283"/>
      <c r="H360" s="285"/>
      <c r="I360" s="286"/>
      <c r="J360" s="287"/>
      <c r="K360" s="239"/>
      <c r="L360" s="234"/>
      <c r="M360" s="43"/>
    </row>
    <row r="361" spans="1:13" ht="13.5" customHeight="1" thickBot="1" x14ac:dyDescent="0.35">
      <c r="A361" s="289"/>
      <c r="B361" s="138"/>
      <c r="C361" s="139"/>
      <c r="D361" s="291"/>
      <c r="E361" s="293"/>
      <c r="F361" s="295"/>
      <c r="G361" s="284"/>
      <c r="H361" s="298"/>
      <c r="I361" s="300"/>
      <c r="J361" s="302"/>
      <c r="K361" s="240"/>
      <c r="L361" s="236"/>
      <c r="M361" s="43"/>
    </row>
    <row r="362" spans="1:13" ht="13.5" customHeight="1" x14ac:dyDescent="0.3">
      <c r="A362" s="279"/>
      <c r="B362" s="137"/>
      <c r="C362" s="226"/>
      <c r="D362" s="280"/>
      <c r="E362" s="281">
        <f>'INGRESO DE DATOS'!C136</f>
        <v>0</v>
      </c>
      <c r="F362" s="282">
        <f>'INGRESO DE DATOS'!D136</f>
        <v>0</v>
      </c>
      <c r="G362" s="283">
        <f>IF('INGRESO DE DATOS'!F136&gt;=2,'INGRESO DE DATOS'!E136*'INGRESO DE DATOS'!F136,IF('INGRESO DE DATOS'!F136&lt;2,'INGRESO DE DATOS'!E136,0))+L362+L363+L364</f>
        <v>0</v>
      </c>
      <c r="H362" s="285">
        <f>IF('INGRESO DE DATOS'!F136&gt;=2,'INGRESO DE DATOS'!F136*10000,IF('INGRESO DE DATOS'!E136&lt;10000,'INGRESO DE DATOS'!E136,IF('INGRESO DE DATOS'!E136&gt;=10000,10000,0)))</f>
        <v>0</v>
      </c>
      <c r="I362" s="286">
        <f>IF('INGRESO DE DATOS'!F136&gt;=2,'INGRESO DE DATOS'!F136*3000,IF('INGRESO DE DATOS'!E136&gt;12000,3000,IF('INGRESO DE DATOS'!E136=12000,2000,IF('INGRESO DE DATOS'!E136&lt;12000,0))))</f>
        <v>0</v>
      </c>
      <c r="J362" s="287">
        <f>+G362-H362-I362-L362-L363-L364</f>
        <v>0</v>
      </c>
      <c r="K362" s="243"/>
      <c r="L362" s="235"/>
      <c r="M362" s="43"/>
    </row>
    <row r="363" spans="1:13" ht="13.5" customHeight="1" x14ac:dyDescent="0.3">
      <c r="A363" s="279"/>
      <c r="B363" s="137"/>
      <c r="C363" s="226"/>
      <c r="D363" s="280"/>
      <c r="E363" s="281"/>
      <c r="F363" s="282"/>
      <c r="G363" s="283"/>
      <c r="H363" s="285"/>
      <c r="I363" s="286"/>
      <c r="J363" s="287"/>
      <c r="K363" s="239"/>
      <c r="L363" s="234"/>
      <c r="M363" s="43"/>
    </row>
    <row r="364" spans="1:13" ht="13.5" customHeight="1" thickBot="1" x14ac:dyDescent="0.35">
      <c r="A364" s="279"/>
      <c r="B364" s="137"/>
      <c r="C364" s="226"/>
      <c r="D364" s="280"/>
      <c r="E364" s="281"/>
      <c r="F364" s="282"/>
      <c r="G364" s="283"/>
      <c r="H364" s="285"/>
      <c r="I364" s="286"/>
      <c r="J364" s="287"/>
      <c r="K364" s="241"/>
      <c r="L364" s="242"/>
      <c r="M364" s="43"/>
    </row>
    <row r="365" spans="1:13" ht="13.5" customHeight="1" x14ac:dyDescent="0.3">
      <c r="A365" s="288"/>
      <c r="B365" s="227"/>
      <c r="C365" s="228"/>
      <c r="D365" s="290"/>
      <c r="E365" s="292">
        <f>'INGRESO DE DATOS'!C137</f>
        <v>0</v>
      </c>
      <c r="F365" s="294">
        <f>'INGRESO DE DATOS'!D137</f>
        <v>0</v>
      </c>
      <c r="G365" s="296">
        <f>IF('INGRESO DE DATOS'!F137&gt;=2,'INGRESO DE DATOS'!E137*'INGRESO DE DATOS'!F137,IF('INGRESO DE DATOS'!F137&lt;2,'INGRESO DE DATOS'!E137,0))+L365+L366+L367</f>
        <v>0</v>
      </c>
      <c r="H365" s="297">
        <f>IF('INGRESO DE DATOS'!F137&gt;=2,'INGRESO DE DATOS'!F137*10000,IF('INGRESO DE DATOS'!E137&lt;10000,'INGRESO DE DATOS'!E137,IF('INGRESO DE DATOS'!E137&gt;=10000,10000,0)))</f>
        <v>0</v>
      </c>
      <c r="I365" s="299">
        <f>IF('INGRESO DE DATOS'!F137&gt;=2,'INGRESO DE DATOS'!F137*3000,IF('INGRESO DE DATOS'!E137&gt;12000,3000,IF('INGRESO DE DATOS'!E137=12000,2000,IF('INGRESO DE DATOS'!E137&lt;12000,0))))</f>
        <v>0</v>
      </c>
      <c r="J365" s="301">
        <f>+G365-H365-I365-L365-L366-L367</f>
        <v>0</v>
      </c>
      <c r="K365" s="238"/>
      <c r="L365" s="233"/>
      <c r="M365" s="43"/>
    </row>
    <row r="366" spans="1:13" ht="13.5" customHeight="1" x14ac:dyDescent="0.3">
      <c r="A366" s="279"/>
      <c r="B366" s="137"/>
      <c r="C366" s="226"/>
      <c r="D366" s="280"/>
      <c r="E366" s="281"/>
      <c r="F366" s="282"/>
      <c r="G366" s="283"/>
      <c r="H366" s="285"/>
      <c r="I366" s="286"/>
      <c r="J366" s="287"/>
      <c r="K366" s="239"/>
      <c r="L366" s="234"/>
      <c r="M366" s="43"/>
    </row>
    <row r="367" spans="1:13" ht="13.5" customHeight="1" thickBot="1" x14ac:dyDescent="0.35">
      <c r="A367" s="289"/>
      <c r="B367" s="138"/>
      <c r="C367" s="139"/>
      <c r="D367" s="291"/>
      <c r="E367" s="293"/>
      <c r="F367" s="295"/>
      <c r="G367" s="284"/>
      <c r="H367" s="298"/>
      <c r="I367" s="300"/>
      <c r="J367" s="302"/>
      <c r="K367" s="240"/>
      <c r="L367" s="236"/>
      <c r="M367" s="43"/>
    </row>
    <row r="368" spans="1:13" ht="13.5" customHeight="1" x14ac:dyDescent="0.3">
      <c r="A368" s="279"/>
      <c r="B368" s="137"/>
      <c r="C368" s="226"/>
      <c r="D368" s="280"/>
      <c r="E368" s="281">
        <f>'INGRESO DE DATOS'!C138</f>
        <v>0</v>
      </c>
      <c r="F368" s="282">
        <f>'INGRESO DE DATOS'!D138</f>
        <v>0</v>
      </c>
      <c r="G368" s="283">
        <f>IF('INGRESO DE DATOS'!F138&gt;=2,'INGRESO DE DATOS'!E138*'INGRESO DE DATOS'!F138,IF('INGRESO DE DATOS'!F138&lt;2,'INGRESO DE DATOS'!E138,0))+L368+L369+L370</f>
        <v>0</v>
      </c>
      <c r="H368" s="285">
        <f>IF('INGRESO DE DATOS'!F138&gt;=2,'INGRESO DE DATOS'!F138*10000,IF('INGRESO DE DATOS'!E138&lt;10000,'INGRESO DE DATOS'!E138,IF('INGRESO DE DATOS'!E138&gt;=10000,10000,0)))</f>
        <v>0</v>
      </c>
      <c r="I368" s="286">
        <f>IF('INGRESO DE DATOS'!F138&gt;=2,'INGRESO DE DATOS'!F138*3000,IF('INGRESO DE DATOS'!E138&gt;12000,3000,IF('INGRESO DE DATOS'!E138=12000,2000,IF('INGRESO DE DATOS'!E138&lt;12000,0))))</f>
        <v>0</v>
      </c>
      <c r="J368" s="287">
        <f>+G368-H368-I368-L368-L369-L370</f>
        <v>0</v>
      </c>
      <c r="K368" s="243"/>
      <c r="L368" s="235"/>
      <c r="M368" s="43"/>
    </row>
    <row r="369" spans="1:13" ht="13.5" customHeight="1" x14ac:dyDescent="0.3">
      <c r="A369" s="279"/>
      <c r="B369" s="137"/>
      <c r="C369" s="226"/>
      <c r="D369" s="280"/>
      <c r="E369" s="281"/>
      <c r="F369" s="282"/>
      <c r="G369" s="283"/>
      <c r="H369" s="285"/>
      <c r="I369" s="286"/>
      <c r="J369" s="287"/>
      <c r="K369" s="239"/>
      <c r="L369" s="234"/>
      <c r="M369" s="43"/>
    </row>
    <row r="370" spans="1:13" ht="13.5" customHeight="1" thickBot="1" x14ac:dyDescent="0.35">
      <c r="A370" s="279"/>
      <c r="B370" s="137"/>
      <c r="C370" s="226"/>
      <c r="D370" s="280"/>
      <c r="E370" s="281"/>
      <c r="F370" s="282"/>
      <c r="G370" s="283"/>
      <c r="H370" s="285"/>
      <c r="I370" s="286"/>
      <c r="J370" s="287"/>
      <c r="K370" s="241"/>
      <c r="L370" s="242"/>
      <c r="M370" s="43"/>
    </row>
    <row r="371" spans="1:13" ht="13.5" customHeight="1" x14ac:dyDescent="0.3">
      <c r="A371" s="288"/>
      <c r="B371" s="227"/>
      <c r="C371" s="228"/>
      <c r="D371" s="290"/>
      <c r="E371" s="292">
        <f>'INGRESO DE DATOS'!C139</f>
        <v>0</v>
      </c>
      <c r="F371" s="294">
        <f>'INGRESO DE DATOS'!D139</f>
        <v>0</v>
      </c>
      <c r="G371" s="296">
        <f>IF('INGRESO DE DATOS'!F139&gt;=2,'INGRESO DE DATOS'!E139*'INGRESO DE DATOS'!F139,IF('INGRESO DE DATOS'!F139&lt;2,'INGRESO DE DATOS'!E139,0))+L371+L372+L373</f>
        <v>0</v>
      </c>
      <c r="H371" s="297">
        <f>IF('INGRESO DE DATOS'!F139&gt;=2,'INGRESO DE DATOS'!F139*10000,IF('INGRESO DE DATOS'!E139&lt;10000,'INGRESO DE DATOS'!E139,IF('INGRESO DE DATOS'!E139&gt;=10000,10000,0)))</f>
        <v>0</v>
      </c>
      <c r="I371" s="299">
        <f>IF('INGRESO DE DATOS'!F139&gt;=2,'INGRESO DE DATOS'!F139*3000,IF('INGRESO DE DATOS'!E139&gt;12000,3000,IF('INGRESO DE DATOS'!E139=12000,2000,IF('INGRESO DE DATOS'!E139&lt;12000,0))))</f>
        <v>0</v>
      </c>
      <c r="J371" s="301">
        <f>+G371-H371-I371-L371-L372-L373</f>
        <v>0</v>
      </c>
      <c r="K371" s="238"/>
      <c r="L371" s="233"/>
      <c r="M371" s="43"/>
    </row>
    <row r="372" spans="1:13" ht="13.5" customHeight="1" x14ac:dyDescent="0.3">
      <c r="A372" s="279"/>
      <c r="B372" s="137"/>
      <c r="C372" s="226"/>
      <c r="D372" s="280"/>
      <c r="E372" s="281"/>
      <c r="F372" s="282"/>
      <c r="G372" s="283"/>
      <c r="H372" s="285"/>
      <c r="I372" s="286"/>
      <c r="J372" s="287"/>
      <c r="K372" s="239"/>
      <c r="L372" s="234"/>
      <c r="M372" s="43"/>
    </row>
    <row r="373" spans="1:13" ht="13.5" customHeight="1" thickBot="1" x14ac:dyDescent="0.35">
      <c r="A373" s="289"/>
      <c r="B373" s="138"/>
      <c r="C373" s="139"/>
      <c r="D373" s="291"/>
      <c r="E373" s="293"/>
      <c r="F373" s="295"/>
      <c r="G373" s="284"/>
      <c r="H373" s="298"/>
      <c r="I373" s="300"/>
      <c r="J373" s="302"/>
      <c r="K373" s="240"/>
      <c r="L373" s="236"/>
      <c r="M373" s="43"/>
    </row>
    <row r="374" spans="1:13" ht="13.5" customHeight="1" x14ac:dyDescent="0.3">
      <c r="A374" s="279"/>
      <c r="B374" s="137"/>
      <c r="C374" s="226"/>
      <c r="D374" s="280"/>
      <c r="E374" s="281">
        <f>'INGRESO DE DATOS'!C140</f>
        <v>0</v>
      </c>
      <c r="F374" s="282">
        <f>'INGRESO DE DATOS'!D139</f>
        <v>0</v>
      </c>
      <c r="G374" s="283">
        <f>IF('INGRESO DE DATOS'!F140&gt;=2,'INGRESO DE DATOS'!E140*'INGRESO DE DATOS'!F140,IF('INGRESO DE DATOS'!F140&lt;2,'INGRESO DE DATOS'!E140,0))+L374+L375+L376</f>
        <v>0</v>
      </c>
      <c r="H374" s="285">
        <f>IF('INGRESO DE DATOS'!F140&gt;=2,'INGRESO DE DATOS'!F140*10000,IF('INGRESO DE DATOS'!E140&lt;10000,'INGRESO DE DATOS'!E140,IF('INGRESO DE DATOS'!E140&gt;=10000,10000,0)))</f>
        <v>0</v>
      </c>
      <c r="I374" s="286">
        <f>IF('INGRESO DE DATOS'!F140&gt;=2,'INGRESO DE DATOS'!F140*3000,IF('INGRESO DE DATOS'!E140&gt;12000,3000,IF('INGRESO DE DATOS'!E140=12000,2000,IF('INGRESO DE DATOS'!E140&lt;12000,0))))</f>
        <v>0</v>
      </c>
      <c r="J374" s="287">
        <f>+G374-H374-I374-L374-L375-L376</f>
        <v>0</v>
      </c>
      <c r="K374" s="243"/>
      <c r="L374" s="235"/>
      <c r="M374" s="43"/>
    </row>
    <row r="375" spans="1:13" ht="13.5" customHeight="1" x14ac:dyDescent="0.3">
      <c r="A375" s="279"/>
      <c r="B375" s="137"/>
      <c r="C375" s="226"/>
      <c r="D375" s="280"/>
      <c r="E375" s="281"/>
      <c r="F375" s="282"/>
      <c r="G375" s="283"/>
      <c r="H375" s="285"/>
      <c r="I375" s="286"/>
      <c r="J375" s="287"/>
      <c r="K375" s="239"/>
      <c r="L375" s="234"/>
      <c r="M375" s="43"/>
    </row>
    <row r="376" spans="1:13" ht="13.5" customHeight="1" thickBot="1" x14ac:dyDescent="0.35">
      <c r="A376" s="279"/>
      <c r="B376" s="137"/>
      <c r="C376" s="226"/>
      <c r="D376" s="280"/>
      <c r="E376" s="281"/>
      <c r="F376" s="282"/>
      <c r="G376" s="283"/>
      <c r="H376" s="285"/>
      <c r="I376" s="286"/>
      <c r="J376" s="287"/>
      <c r="K376" s="241"/>
      <c r="L376" s="242"/>
      <c r="M376" s="43"/>
    </row>
    <row r="377" spans="1:13" ht="13.5" customHeight="1" x14ac:dyDescent="0.3">
      <c r="A377" s="288"/>
      <c r="B377" s="227"/>
      <c r="C377" s="228"/>
      <c r="D377" s="290"/>
      <c r="E377" s="292">
        <f>'INGRESO DE DATOS'!C141</f>
        <v>0</v>
      </c>
      <c r="F377" s="294">
        <f>'INGRESO DE DATOS'!D141</f>
        <v>0</v>
      </c>
      <c r="G377" s="296">
        <f>IF('INGRESO DE DATOS'!F141&gt;=2,'INGRESO DE DATOS'!E141*'INGRESO DE DATOS'!F141,IF('INGRESO DE DATOS'!F141&lt;2,'INGRESO DE DATOS'!E141,0))+L377+L378+L379</f>
        <v>0</v>
      </c>
      <c r="H377" s="297">
        <f>IF('INGRESO DE DATOS'!F141&gt;=2,'INGRESO DE DATOS'!F141*10000,IF('INGRESO DE DATOS'!E141&lt;10000,'INGRESO DE DATOS'!E141,IF('INGRESO DE DATOS'!E141&gt;=10000,10000,0)))</f>
        <v>0</v>
      </c>
      <c r="I377" s="299">
        <f>IF('INGRESO DE DATOS'!F141&gt;=2,'INGRESO DE DATOS'!F141*3000,IF('INGRESO DE DATOS'!E141&gt;12000,3000,IF('INGRESO DE DATOS'!E141=12000,2000,IF('INGRESO DE DATOS'!E141&lt;12000,0))))</f>
        <v>0</v>
      </c>
      <c r="J377" s="301">
        <f>+G377-H377-I377-L377-L378-L379</f>
        <v>0</v>
      </c>
      <c r="K377" s="238"/>
      <c r="L377" s="233"/>
      <c r="M377" s="43"/>
    </row>
    <row r="378" spans="1:13" ht="13.5" customHeight="1" x14ac:dyDescent="0.3">
      <c r="A378" s="279"/>
      <c r="B378" s="137"/>
      <c r="C378" s="226"/>
      <c r="D378" s="280"/>
      <c r="E378" s="281"/>
      <c r="F378" s="282"/>
      <c r="G378" s="283"/>
      <c r="H378" s="285"/>
      <c r="I378" s="286"/>
      <c r="J378" s="287"/>
      <c r="K378" s="239"/>
      <c r="L378" s="234"/>
      <c r="M378" s="43"/>
    </row>
    <row r="379" spans="1:13" ht="13.5" customHeight="1" thickBot="1" x14ac:dyDescent="0.35">
      <c r="A379" s="289"/>
      <c r="B379" s="138"/>
      <c r="C379" s="139"/>
      <c r="D379" s="291"/>
      <c r="E379" s="293"/>
      <c r="F379" s="295"/>
      <c r="G379" s="284"/>
      <c r="H379" s="298"/>
      <c r="I379" s="300"/>
      <c r="J379" s="302"/>
      <c r="K379" s="240"/>
      <c r="L379" s="236"/>
      <c r="M379" s="43"/>
    </row>
    <row r="380" spans="1:13" ht="13.5" customHeight="1" x14ac:dyDescent="0.3">
      <c r="A380" s="279"/>
      <c r="B380" s="137"/>
      <c r="C380" s="226"/>
      <c r="D380" s="280"/>
      <c r="E380" s="281">
        <f>'INGRESO DE DATOS'!C142</f>
        <v>0</v>
      </c>
      <c r="F380" s="282">
        <f>'INGRESO DE DATOS'!D142</f>
        <v>0</v>
      </c>
      <c r="G380" s="283">
        <f>IF('INGRESO DE DATOS'!F142&gt;=2,'INGRESO DE DATOS'!E142*'INGRESO DE DATOS'!F142,IF('INGRESO DE DATOS'!F142&lt;2,'INGRESO DE DATOS'!E142,0))+L380+L381+L382</f>
        <v>0</v>
      </c>
      <c r="H380" s="285">
        <f>IF('INGRESO DE DATOS'!F142&gt;=2,'INGRESO DE DATOS'!F142*10000,IF('INGRESO DE DATOS'!E142&lt;10000,'INGRESO DE DATOS'!E142,IF('INGRESO DE DATOS'!E142&gt;=10000,10000,0)))</f>
        <v>0</v>
      </c>
      <c r="I380" s="286">
        <f>IF('INGRESO DE DATOS'!F142&gt;=2,'INGRESO DE DATOS'!F142*3000,IF('INGRESO DE DATOS'!E142&gt;12000,3000,IF('INGRESO DE DATOS'!E142=12000,2000,IF('INGRESO DE DATOS'!E142&lt;12000,0))))</f>
        <v>0</v>
      </c>
      <c r="J380" s="287">
        <f>+G380-H380-I380-L380-L381-L382</f>
        <v>0</v>
      </c>
      <c r="K380" s="243"/>
      <c r="L380" s="235"/>
      <c r="M380" s="43"/>
    </row>
    <row r="381" spans="1:13" ht="13.5" customHeight="1" x14ac:dyDescent="0.3">
      <c r="A381" s="279"/>
      <c r="B381" s="137"/>
      <c r="C381" s="226"/>
      <c r="D381" s="280"/>
      <c r="E381" s="281"/>
      <c r="F381" s="282"/>
      <c r="G381" s="283"/>
      <c r="H381" s="285"/>
      <c r="I381" s="286"/>
      <c r="J381" s="287"/>
      <c r="K381" s="239"/>
      <c r="L381" s="234"/>
      <c r="M381" s="43"/>
    </row>
    <row r="382" spans="1:13" ht="13.5" customHeight="1" thickBot="1" x14ac:dyDescent="0.35">
      <c r="A382" s="279"/>
      <c r="B382" s="137"/>
      <c r="C382" s="226"/>
      <c r="D382" s="280"/>
      <c r="E382" s="281"/>
      <c r="F382" s="282"/>
      <c r="G382" s="283"/>
      <c r="H382" s="285"/>
      <c r="I382" s="286"/>
      <c r="J382" s="287"/>
      <c r="K382" s="241"/>
      <c r="L382" s="242"/>
      <c r="M382" s="43"/>
    </row>
    <row r="383" spans="1:13" ht="13.5" customHeight="1" x14ac:dyDescent="0.3">
      <c r="A383" s="288"/>
      <c r="B383" s="227"/>
      <c r="C383" s="228"/>
      <c r="D383" s="290"/>
      <c r="E383" s="292">
        <f>'INGRESO DE DATOS'!C143</f>
        <v>0</v>
      </c>
      <c r="F383" s="294">
        <f>'INGRESO DE DATOS'!D143</f>
        <v>0</v>
      </c>
      <c r="G383" s="296">
        <f>IF('INGRESO DE DATOS'!F143&gt;=2,'INGRESO DE DATOS'!E143*'INGRESO DE DATOS'!F143,IF('INGRESO DE DATOS'!F143&lt;2,'INGRESO DE DATOS'!E143,0))+L383+L384+L385</f>
        <v>0</v>
      </c>
      <c r="H383" s="297">
        <f>IF('INGRESO DE DATOS'!F143&gt;=2,'INGRESO DE DATOS'!F143*10000,IF('INGRESO DE DATOS'!E143&lt;10000,'INGRESO DE DATOS'!E143,IF('INGRESO DE DATOS'!E143&gt;=10000,10000,0)))</f>
        <v>0</v>
      </c>
      <c r="I383" s="299">
        <f>IF('INGRESO DE DATOS'!F143&gt;=2,'INGRESO DE DATOS'!F143*3000,IF('INGRESO DE DATOS'!E143&gt;12000,3000,IF('INGRESO DE DATOS'!E143=12000,2000,IF('INGRESO DE DATOS'!E143&lt;12000,0))))</f>
        <v>0</v>
      </c>
      <c r="J383" s="301">
        <f>+G383-H383-I383-L383-L384-L385</f>
        <v>0</v>
      </c>
      <c r="K383" s="238"/>
      <c r="L383" s="233"/>
      <c r="M383" s="43"/>
    </row>
    <row r="384" spans="1:13" ht="13.5" customHeight="1" x14ac:dyDescent="0.3">
      <c r="A384" s="279"/>
      <c r="B384" s="137"/>
      <c r="C384" s="226"/>
      <c r="D384" s="280"/>
      <c r="E384" s="281"/>
      <c r="F384" s="282"/>
      <c r="G384" s="283"/>
      <c r="H384" s="285"/>
      <c r="I384" s="286"/>
      <c r="J384" s="287"/>
      <c r="K384" s="239"/>
      <c r="L384" s="234"/>
      <c r="M384" s="43"/>
    </row>
    <row r="385" spans="1:13" ht="13.5" customHeight="1" thickBot="1" x14ac:dyDescent="0.35">
      <c r="A385" s="289"/>
      <c r="B385" s="138"/>
      <c r="C385" s="139"/>
      <c r="D385" s="291"/>
      <c r="E385" s="293"/>
      <c r="F385" s="295"/>
      <c r="G385" s="284"/>
      <c r="H385" s="298"/>
      <c r="I385" s="300"/>
      <c r="J385" s="302"/>
      <c r="K385" s="240"/>
      <c r="L385" s="236"/>
      <c r="M385" s="43"/>
    </row>
    <row r="386" spans="1:13" ht="13.5" customHeight="1" x14ac:dyDescent="0.3">
      <c r="A386" s="279"/>
      <c r="B386" s="137"/>
      <c r="C386" s="226"/>
      <c r="D386" s="280"/>
      <c r="E386" s="281">
        <f>'INGRESO DE DATOS'!C144</f>
        <v>0</v>
      </c>
      <c r="F386" s="282">
        <f>'INGRESO DE DATOS'!D144</f>
        <v>0</v>
      </c>
      <c r="G386" s="283">
        <f>IF('INGRESO DE DATOS'!F144&gt;=2,'INGRESO DE DATOS'!E144*'INGRESO DE DATOS'!F144,IF('INGRESO DE DATOS'!F144&lt;2,'INGRESO DE DATOS'!E144,0))+L386+L387+L388</f>
        <v>0</v>
      </c>
      <c r="H386" s="285">
        <f>IF('INGRESO DE DATOS'!F144&gt;=2,'INGRESO DE DATOS'!F144*10000,IF('INGRESO DE DATOS'!E144&lt;10000,'INGRESO DE DATOS'!E144,IF('INGRESO DE DATOS'!E144&gt;=10000,10000,0)))</f>
        <v>0</v>
      </c>
      <c r="I386" s="286">
        <f>IF('INGRESO DE DATOS'!F144&gt;=2,'INGRESO DE DATOS'!F144*3000,IF('INGRESO DE DATOS'!E144&gt;12000,3000,IF('INGRESO DE DATOS'!E144=12000,2000,IF('INGRESO DE DATOS'!E144&lt;12000,0))))</f>
        <v>0</v>
      </c>
      <c r="J386" s="287">
        <f>+G386-H386-I386-L386-L387-L388</f>
        <v>0</v>
      </c>
      <c r="K386" s="243"/>
      <c r="L386" s="235"/>
      <c r="M386" s="43"/>
    </row>
    <row r="387" spans="1:13" ht="13.5" customHeight="1" x14ac:dyDescent="0.3">
      <c r="A387" s="279"/>
      <c r="B387" s="137"/>
      <c r="C387" s="226"/>
      <c r="D387" s="280"/>
      <c r="E387" s="281"/>
      <c r="F387" s="282"/>
      <c r="G387" s="283"/>
      <c r="H387" s="285"/>
      <c r="I387" s="286"/>
      <c r="J387" s="287"/>
      <c r="K387" s="239"/>
      <c r="L387" s="234"/>
      <c r="M387" s="43"/>
    </row>
    <row r="388" spans="1:13" ht="13.5" customHeight="1" thickBot="1" x14ac:dyDescent="0.35">
      <c r="A388" s="279"/>
      <c r="B388" s="137"/>
      <c r="C388" s="226"/>
      <c r="D388" s="280"/>
      <c r="E388" s="281"/>
      <c r="F388" s="282"/>
      <c r="G388" s="283"/>
      <c r="H388" s="285"/>
      <c r="I388" s="286"/>
      <c r="J388" s="287"/>
      <c r="K388" s="241"/>
      <c r="L388" s="242"/>
      <c r="M388" s="43"/>
    </row>
    <row r="389" spans="1:13" ht="13.5" customHeight="1" x14ac:dyDescent="0.3">
      <c r="A389" s="288"/>
      <c r="B389" s="227"/>
      <c r="C389" s="228"/>
      <c r="D389" s="290"/>
      <c r="E389" s="292">
        <f>'INGRESO DE DATOS'!C145</f>
        <v>0</v>
      </c>
      <c r="F389" s="294">
        <f>'INGRESO DE DATOS'!D145</f>
        <v>0</v>
      </c>
      <c r="G389" s="296">
        <f>IF('INGRESO DE DATOS'!F145&gt;=2,'INGRESO DE DATOS'!E145*'INGRESO DE DATOS'!F145,IF('INGRESO DE DATOS'!F145&lt;2,'INGRESO DE DATOS'!E145,0))+L389+L390+L391</f>
        <v>0</v>
      </c>
      <c r="H389" s="306">
        <f>IF('INGRESO DE DATOS'!F145&gt;=2,'INGRESO DE DATOS'!F145*10000,IF('INGRESO DE DATOS'!E145&lt;10000,'INGRESO DE DATOS'!E145,IF('INGRESO DE DATOS'!E145&gt;=10000,10000,0)))</f>
        <v>0</v>
      </c>
      <c r="I389" s="297">
        <f>IF('INGRESO DE DATOS'!F145&gt;=2,'INGRESO DE DATOS'!F145*3000,IF('INGRESO DE DATOS'!E145&gt;12000,3000,IF('INGRESO DE DATOS'!E150=12000,2000,IF('INGRESO DE DATOS'!E150&lt;12000,0))))</f>
        <v>0</v>
      </c>
      <c r="J389" s="301">
        <f>+G389-H389-I389-L389-L390-L391</f>
        <v>0</v>
      </c>
      <c r="K389" s="238"/>
      <c r="L389" s="233"/>
      <c r="M389" s="43"/>
    </row>
    <row r="390" spans="1:13" ht="13.5" customHeight="1" x14ac:dyDescent="0.3">
      <c r="A390" s="279"/>
      <c r="B390" s="137"/>
      <c r="C390" s="226"/>
      <c r="D390" s="280"/>
      <c r="E390" s="281"/>
      <c r="F390" s="282"/>
      <c r="G390" s="283"/>
      <c r="H390" s="307"/>
      <c r="I390" s="285"/>
      <c r="J390" s="287"/>
      <c r="K390" s="239"/>
      <c r="L390" s="234"/>
      <c r="M390" s="43"/>
    </row>
    <row r="391" spans="1:13" ht="13.5" customHeight="1" thickBot="1" x14ac:dyDescent="0.35">
      <c r="A391" s="289"/>
      <c r="B391" s="138"/>
      <c r="C391" s="139"/>
      <c r="D391" s="291"/>
      <c r="E391" s="293"/>
      <c r="F391" s="295"/>
      <c r="G391" s="284"/>
      <c r="H391" s="308"/>
      <c r="I391" s="298"/>
      <c r="J391" s="302"/>
      <c r="K391" s="240"/>
      <c r="L391" s="236"/>
      <c r="M391" s="43"/>
    </row>
    <row r="392" spans="1:13" ht="13.5" customHeight="1" x14ac:dyDescent="0.3">
      <c r="A392" s="279"/>
      <c r="B392" s="137"/>
      <c r="C392" s="226"/>
      <c r="D392" s="280"/>
      <c r="E392" s="281">
        <f>'INGRESO DE DATOS'!C146</f>
        <v>0</v>
      </c>
      <c r="F392" s="282">
        <f>'INGRESO DE DATOS'!D146</f>
        <v>0</v>
      </c>
      <c r="G392" s="283">
        <f>IF('INGRESO DE DATOS'!F146&gt;=2,'INGRESO DE DATOS'!E146*'INGRESO DE DATOS'!F146,IF('INGRESO DE DATOS'!F146&lt;2,'INGRESO DE DATOS'!E146,0))+L392+L393+L394</f>
        <v>0</v>
      </c>
      <c r="H392" s="285">
        <f>IF('INGRESO DE DATOS'!F146&gt;=2,'INGRESO DE DATOS'!F146*10000,IF('INGRESO DE DATOS'!E146&lt;10000,'INGRESO DE DATOS'!E146,IF('INGRESO DE DATOS'!E146&gt;=10000,10000,0)))</f>
        <v>0</v>
      </c>
      <c r="I392" s="286">
        <f>IF('INGRESO DE DATOS'!F146&gt;=2,'INGRESO DE DATOS'!F146*3000,IF('INGRESO DE DATOS'!E146&gt;12000,3000,IF('INGRESO DE DATOS'!E146=12000,2000,IF('INGRESO DE DATOS'!E146&lt;12000,0))))</f>
        <v>0</v>
      </c>
      <c r="J392" s="287">
        <f>+G392-H392-I392-L392-L393-L394</f>
        <v>0</v>
      </c>
      <c r="K392" s="243"/>
      <c r="L392" s="235"/>
      <c r="M392" s="43"/>
    </row>
    <row r="393" spans="1:13" ht="13.5" customHeight="1" x14ac:dyDescent="0.3">
      <c r="A393" s="279"/>
      <c r="B393" s="137"/>
      <c r="C393" s="226"/>
      <c r="D393" s="280"/>
      <c r="E393" s="281"/>
      <c r="F393" s="282"/>
      <c r="G393" s="283"/>
      <c r="H393" s="285"/>
      <c r="I393" s="286"/>
      <c r="J393" s="287"/>
      <c r="K393" s="239"/>
      <c r="L393" s="234"/>
      <c r="M393" s="43"/>
    </row>
    <row r="394" spans="1:13" ht="13.5" customHeight="1" thickBot="1" x14ac:dyDescent="0.35">
      <c r="A394" s="279"/>
      <c r="B394" s="137"/>
      <c r="C394" s="226"/>
      <c r="D394" s="280"/>
      <c r="E394" s="281"/>
      <c r="F394" s="282"/>
      <c r="G394" s="283"/>
      <c r="H394" s="285"/>
      <c r="I394" s="286"/>
      <c r="J394" s="287"/>
      <c r="K394" s="241"/>
      <c r="L394" s="242"/>
      <c r="M394" s="43"/>
    </row>
    <row r="395" spans="1:13" ht="13.5" customHeight="1" x14ac:dyDescent="0.3">
      <c r="A395" s="288"/>
      <c r="B395" s="227"/>
      <c r="C395" s="228"/>
      <c r="D395" s="290"/>
      <c r="E395" s="292">
        <f>'INGRESO DE DATOS'!C147</f>
        <v>0</v>
      </c>
      <c r="F395" s="294">
        <f>'INGRESO DE DATOS'!D147</f>
        <v>0</v>
      </c>
      <c r="G395" s="296">
        <f>IF('INGRESO DE DATOS'!F147&gt;=2,'INGRESO DE DATOS'!E147*'INGRESO DE DATOS'!F147,IF('INGRESO DE DATOS'!F147&lt;2,'INGRESO DE DATOS'!E147,0))+L395+L396+L397</f>
        <v>0</v>
      </c>
      <c r="H395" s="297">
        <f>IF('INGRESO DE DATOS'!F147&gt;=2,'INGRESO DE DATOS'!F147*10000,IF('INGRESO DE DATOS'!E147&lt;10000,'INGRESO DE DATOS'!E147,IF('INGRESO DE DATOS'!E147&gt;=10000,10000,0)))</f>
        <v>0</v>
      </c>
      <c r="I395" s="299">
        <f>IF('INGRESO DE DATOS'!F147&gt;=2,'INGRESO DE DATOS'!F147*3000,IF('INGRESO DE DATOS'!E147&gt;12000,3000,IF('INGRESO DE DATOS'!E147=12000,2000,IF('INGRESO DE DATOS'!E147&lt;12000,0))))</f>
        <v>0</v>
      </c>
      <c r="J395" s="301">
        <f>+G395-H395-I395-L395-L396-L397</f>
        <v>0</v>
      </c>
      <c r="K395" s="238"/>
      <c r="L395" s="233"/>
      <c r="M395" s="43"/>
    </row>
    <row r="396" spans="1:13" ht="13.5" customHeight="1" x14ac:dyDescent="0.3">
      <c r="A396" s="279"/>
      <c r="B396" s="137"/>
      <c r="C396" s="226"/>
      <c r="D396" s="280"/>
      <c r="E396" s="281"/>
      <c r="F396" s="282"/>
      <c r="G396" s="283"/>
      <c r="H396" s="285"/>
      <c r="I396" s="286"/>
      <c r="J396" s="287"/>
      <c r="K396" s="239"/>
      <c r="L396" s="234"/>
      <c r="M396" s="43"/>
    </row>
    <row r="397" spans="1:13" ht="13.5" customHeight="1" thickBot="1" x14ac:dyDescent="0.35">
      <c r="A397" s="289"/>
      <c r="B397" s="138"/>
      <c r="C397" s="139"/>
      <c r="D397" s="291"/>
      <c r="E397" s="293"/>
      <c r="F397" s="295"/>
      <c r="G397" s="284"/>
      <c r="H397" s="298"/>
      <c r="I397" s="300"/>
      <c r="J397" s="302"/>
      <c r="K397" s="240"/>
      <c r="L397" s="236"/>
      <c r="M397" s="43"/>
    </row>
    <row r="398" spans="1:13" ht="13.5" customHeight="1" x14ac:dyDescent="0.3">
      <c r="A398" s="279"/>
      <c r="B398" s="137"/>
      <c r="C398" s="226"/>
      <c r="D398" s="280"/>
      <c r="E398" s="281">
        <f>'INGRESO DE DATOS'!C148</f>
        <v>0</v>
      </c>
      <c r="F398" s="282">
        <f>'INGRESO DE DATOS'!D148</f>
        <v>0</v>
      </c>
      <c r="G398" s="283">
        <f>IF('INGRESO DE DATOS'!F148&gt;=2,'INGRESO DE DATOS'!E148*'INGRESO DE DATOS'!F148,IF('INGRESO DE DATOS'!F148&lt;2,'INGRESO DE DATOS'!E148,0))+L398+L399+L400</f>
        <v>0</v>
      </c>
      <c r="H398" s="285">
        <f>IF('INGRESO DE DATOS'!F148&gt;=2,'INGRESO DE DATOS'!F148*10000,IF('INGRESO DE DATOS'!E148&lt;10000,'INGRESO DE DATOS'!E148,IF('INGRESO DE DATOS'!E148&gt;=10000,10000,0)))</f>
        <v>0</v>
      </c>
      <c r="I398" s="286">
        <f>IF('INGRESO DE DATOS'!F148&gt;=2,'INGRESO DE DATOS'!F148*3000,IF('INGRESO DE DATOS'!E148&gt;12000,3000,IF('INGRESO DE DATOS'!E148=12000,2000,IF('INGRESO DE DATOS'!E148&lt;12000,0))))</f>
        <v>0</v>
      </c>
      <c r="J398" s="287">
        <f>+G398-H398-I398-L398-L399-L400</f>
        <v>0</v>
      </c>
      <c r="K398" s="243"/>
      <c r="L398" s="235"/>
      <c r="M398" s="43"/>
    </row>
    <row r="399" spans="1:13" ht="13.5" customHeight="1" x14ac:dyDescent="0.3">
      <c r="A399" s="279"/>
      <c r="B399" s="137"/>
      <c r="C399" s="226"/>
      <c r="D399" s="280"/>
      <c r="E399" s="281"/>
      <c r="F399" s="282"/>
      <c r="G399" s="283"/>
      <c r="H399" s="285"/>
      <c r="I399" s="286"/>
      <c r="J399" s="287"/>
      <c r="K399" s="239"/>
      <c r="L399" s="234"/>
      <c r="M399" s="43"/>
    </row>
    <row r="400" spans="1:13" ht="13.5" customHeight="1" thickBot="1" x14ac:dyDescent="0.35">
      <c r="A400" s="279"/>
      <c r="B400" s="137"/>
      <c r="C400" s="226"/>
      <c r="D400" s="280"/>
      <c r="E400" s="281"/>
      <c r="F400" s="282"/>
      <c r="G400" s="283"/>
      <c r="H400" s="285"/>
      <c r="I400" s="286"/>
      <c r="J400" s="287"/>
      <c r="K400" s="241"/>
      <c r="L400" s="242"/>
      <c r="M400" s="43"/>
    </row>
    <row r="401" spans="1:13" ht="13.5" customHeight="1" x14ac:dyDescent="0.3">
      <c r="A401" s="288"/>
      <c r="B401" s="227"/>
      <c r="C401" s="228"/>
      <c r="D401" s="290"/>
      <c r="E401" s="292">
        <f>'INGRESO DE DATOS'!C149</f>
        <v>0</v>
      </c>
      <c r="F401" s="294">
        <f>'INGRESO DE DATOS'!D149</f>
        <v>0</v>
      </c>
      <c r="G401" s="296">
        <f>IF('INGRESO DE DATOS'!F149&gt;=2,'INGRESO DE DATOS'!E149*'INGRESO DE DATOS'!F149,IF('INGRESO DE DATOS'!F149&lt;2,'INGRESO DE DATOS'!E149,0))+L401+L402+L403</f>
        <v>0</v>
      </c>
      <c r="H401" s="297">
        <f>IF('INGRESO DE DATOS'!F149&gt;=2,'INGRESO DE DATOS'!F149*10000,IF('INGRESO DE DATOS'!E149&lt;10000,'INGRESO DE DATOS'!E149,IF('INGRESO DE DATOS'!E149&gt;=10000,10000,0)))</f>
        <v>0</v>
      </c>
      <c r="I401" s="299">
        <f>IF('INGRESO DE DATOS'!F149&gt;=2,'INGRESO DE DATOS'!F149*3000,IF('INGRESO DE DATOS'!E149&gt;12000,3000,IF('INGRESO DE DATOS'!E149=12000,2000,IF('INGRESO DE DATOS'!E149&lt;12000,0))))</f>
        <v>0</v>
      </c>
      <c r="J401" s="303">
        <f>+G401-H401-I401-L401-L402-L403</f>
        <v>0</v>
      </c>
      <c r="K401" s="238"/>
      <c r="L401" s="233"/>
      <c r="M401" s="43"/>
    </row>
    <row r="402" spans="1:13" ht="13.5" customHeight="1" x14ac:dyDescent="0.3">
      <c r="A402" s="279"/>
      <c r="B402" s="137"/>
      <c r="C402" s="226"/>
      <c r="D402" s="280"/>
      <c r="E402" s="281"/>
      <c r="F402" s="282"/>
      <c r="G402" s="283"/>
      <c r="H402" s="285"/>
      <c r="I402" s="286"/>
      <c r="J402" s="304"/>
      <c r="K402" s="239"/>
      <c r="L402" s="234"/>
      <c r="M402" s="43"/>
    </row>
    <row r="403" spans="1:13" ht="13.5" customHeight="1" thickBot="1" x14ac:dyDescent="0.35">
      <c r="A403" s="289"/>
      <c r="B403" s="138"/>
      <c r="C403" s="139"/>
      <c r="D403" s="291"/>
      <c r="E403" s="293"/>
      <c r="F403" s="295"/>
      <c r="G403" s="284"/>
      <c r="H403" s="298"/>
      <c r="I403" s="300"/>
      <c r="J403" s="305"/>
      <c r="K403" s="240"/>
      <c r="L403" s="236"/>
      <c r="M403" s="43"/>
    </row>
    <row r="404" spans="1:13" ht="13.5" customHeight="1" x14ac:dyDescent="0.3">
      <c r="A404" s="279"/>
      <c r="B404" s="137"/>
      <c r="C404" s="226"/>
      <c r="D404" s="280"/>
      <c r="E404" s="281">
        <f>'INGRESO DE DATOS'!C150</f>
        <v>0</v>
      </c>
      <c r="F404" s="282">
        <f>'INGRESO DE DATOS'!D150</f>
        <v>0</v>
      </c>
      <c r="G404" s="283">
        <f>IF('INGRESO DE DATOS'!F150&gt;=2,'INGRESO DE DATOS'!E150*'INGRESO DE DATOS'!F150,IF('INGRESO DE DATOS'!F150&lt;2,'INGRESO DE DATOS'!E150,0))+L404+L405+L406</f>
        <v>0</v>
      </c>
      <c r="H404" s="285">
        <f>IF('INGRESO DE DATOS'!F150&gt;=2,'INGRESO DE DATOS'!F150*10000,IF('INGRESO DE DATOS'!E150&lt;10000,'INGRESO DE DATOS'!E150,IF('INGRESO DE DATOS'!E150&gt;=10000,10000,0)))</f>
        <v>0</v>
      </c>
      <c r="I404" s="286">
        <f>IF('INGRESO DE DATOS'!F150&gt;=2,'INGRESO DE DATOS'!F150*3000,IF('INGRESO DE DATOS'!E150&gt;12000,3000,IF('INGRESO DE DATOS'!E150=12000,2000,IF('INGRESO DE DATOS'!E150&lt;12000,0))))</f>
        <v>0</v>
      </c>
      <c r="J404" s="287">
        <f>+G404-H404-I404-L404-L405-L406</f>
        <v>0</v>
      </c>
      <c r="K404" s="243"/>
      <c r="L404" s="235"/>
      <c r="M404" s="43"/>
    </row>
    <row r="405" spans="1:13" ht="13.5" customHeight="1" x14ac:dyDescent="0.3">
      <c r="A405" s="279"/>
      <c r="B405" s="137"/>
      <c r="C405" s="226"/>
      <c r="D405" s="280"/>
      <c r="E405" s="281"/>
      <c r="F405" s="282"/>
      <c r="G405" s="283"/>
      <c r="H405" s="285"/>
      <c r="I405" s="286"/>
      <c r="J405" s="287"/>
      <c r="K405" s="239"/>
      <c r="L405" s="234"/>
      <c r="M405" s="43"/>
    </row>
    <row r="406" spans="1:13" ht="13.5" customHeight="1" thickBot="1" x14ac:dyDescent="0.35">
      <c r="A406" s="279"/>
      <c r="B406" s="137"/>
      <c r="C406" s="226"/>
      <c r="D406" s="280"/>
      <c r="E406" s="281"/>
      <c r="F406" s="282"/>
      <c r="G406" s="283"/>
      <c r="H406" s="285"/>
      <c r="I406" s="286"/>
      <c r="J406" s="287"/>
      <c r="K406" s="241"/>
      <c r="L406" s="242"/>
      <c r="M406" s="43"/>
    </row>
    <row r="407" spans="1:13" ht="13.5" customHeight="1" x14ac:dyDescent="0.3">
      <c r="A407" s="288"/>
      <c r="B407" s="227"/>
      <c r="C407" s="228"/>
      <c r="D407" s="290"/>
      <c r="E407" s="292">
        <f>'INGRESO DE DATOS'!C151</f>
        <v>0</v>
      </c>
      <c r="F407" s="294">
        <f>'INGRESO DE DATOS'!D151</f>
        <v>0</v>
      </c>
      <c r="G407" s="296">
        <f>IF('INGRESO DE DATOS'!F151&gt;=2,'INGRESO DE DATOS'!E151*'INGRESO DE DATOS'!F151,IF('INGRESO DE DATOS'!F151&lt;2,'INGRESO DE DATOS'!E151,0))+L407+L408+L409</f>
        <v>0</v>
      </c>
      <c r="H407" s="297">
        <f>IF('INGRESO DE DATOS'!F151&gt;=2,'INGRESO DE DATOS'!F151*10000,IF('INGRESO DE DATOS'!E151&lt;10000,'INGRESO DE DATOS'!E151,IF('INGRESO DE DATOS'!E151&gt;=10000,10000,0)))</f>
        <v>0</v>
      </c>
      <c r="I407" s="299">
        <f>IF('INGRESO DE DATOS'!F151&gt;=2,'INGRESO DE DATOS'!F151*3000,IF('INGRESO DE DATOS'!E151&gt;12000,3000,IF('INGRESO DE DATOS'!E151=12000,2000,IF('INGRESO DE DATOS'!E151&lt;12000,0))))</f>
        <v>0</v>
      </c>
      <c r="J407" s="301">
        <f>+G407-H407-I407-L407-L408-L409</f>
        <v>0</v>
      </c>
      <c r="K407" s="238"/>
      <c r="L407" s="233"/>
      <c r="M407" s="43"/>
    </row>
    <row r="408" spans="1:13" ht="13.5" customHeight="1" x14ac:dyDescent="0.3">
      <c r="A408" s="279"/>
      <c r="B408" s="137"/>
      <c r="C408" s="226"/>
      <c r="D408" s="280"/>
      <c r="E408" s="281"/>
      <c r="F408" s="282"/>
      <c r="G408" s="283"/>
      <c r="H408" s="285"/>
      <c r="I408" s="286"/>
      <c r="J408" s="287"/>
      <c r="K408" s="239"/>
      <c r="L408" s="234"/>
      <c r="M408" s="43"/>
    </row>
    <row r="409" spans="1:13" ht="13.5" customHeight="1" thickBot="1" x14ac:dyDescent="0.35">
      <c r="A409" s="289"/>
      <c r="B409" s="138"/>
      <c r="C409" s="139"/>
      <c r="D409" s="291"/>
      <c r="E409" s="293"/>
      <c r="F409" s="295"/>
      <c r="G409" s="284"/>
      <c r="H409" s="298"/>
      <c r="I409" s="300"/>
      <c r="J409" s="302"/>
      <c r="K409" s="240"/>
      <c r="L409" s="236"/>
      <c r="M409" s="43"/>
    </row>
    <row r="410" spans="1:13" ht="13.5" customHeight="1" x14ac:dyDescent="0.3">
      <c r="A410" s="279"/>
      <c r="B410" s="137"/>
      <c r="C410" s="226"/>
      <c r="D410" s="280"/>
      <c r="E410" s="281">
        <f>'INGRESO DE DATOS'!C152</f>
        <v>0</v>
      </c>
      <c r="F410" s="282">
        <f>'INGRESO DE DATOS'!D152</f>
        <v>0</v>
      </c>
      <c r="G410" s="283">
        <f>IF('INGRESO DE DATOS'!F152&gt;=2,'INGRESO DE DATOS'!E152*'INGRESO DE DATOS'!F152,IF('INGRESO DE DATOS'!F152&lt;2,'INGRESO DE DATOS'!E152,0))+L410+L411+L412</f>
        <v>0</v>
      </c>
      <c r="H410" s="285">
        <f>IF('INGRESO DE DATOS'!F152&gt;=2,'INGRESO DE DATOS'!F152*10000,IF('INGRESO DE DATOS'!E152&lt;10000,'INGRESO DE DATOS'!E152,IF('INGRESO DE DATOS'!E152&gt;=10000,10000,0)))</f>
        <v>0</v>
      </c>
      <c r="I410" s="286">
        <f>IF('INGRESO DE DATOS'!F152&gt;=2,'INGRESO DE DATOS'!F152*3000,IF('INGRESO DE DATOS'!E152&gt;12000,3000,IF('INGRESO DE DATOS'!E152=12000,2000,IF('INGRESO DE DATOS'!E152&lt;12000,0))))</f>
        <v>0</v>
      </c>
      <c r="J410" s="287">
        <f>+G410-H410-I410-L410-L411-L412</f>
        <v>0</v>
      </c>
      <c r="K410" s="243"/>
      <c r="L410" s="235"/>
      <c r="M410" s="43"/>
    </row>
    <row r="411" spans="1:13" ht="13.5" customHeight="1" x14ac:dyDescent="0.3">
      <c r="A411" s="279"/>
      <c r="B411" s="137"/>
      <c r="C411" s="226"/>
      <c r="D411" s="280"/>
      <c r="E411" s="281"/>
      <c r="F411" s="282"/>
      <c r="G411" s="283"/>
      <c r="H411" s="285"/>
      <c r="I411" s="286"/>
      <c r="J411" s="287"/>
      <c r="K411" s="239"/>
      <c r="L411" s="234"/>
      <c r="M411" s="43"/>
    </row>
    <row r="412" spans="1:13" ht="13.5" customHeight="1" thickBot="1" x14ac:dyDescent="0.35">
      <c r="A412" s="279"/>
      <c r="B412" s="137"/>
      <c r="C412" s="226"/>
      <c r="D412" s="280"/>
      <c r="E412" s="281"/>
      <c r="F412" s="282"/>
      <c r="G412" s="283"/>
      <c r="H412" s="285"/>
      <c r="I412" s="286"/>
      <c r="J412" s="287"/>
      <c r="K412" s="241"/>
      <c r="L412" s="242"/>
      <c r="M412" s="43"/>
    </row>
    <row r="413" spans="1:13" ht="13.5" customHeight="1" x14ac:dyDescent="0.3">
      <c r="A413" s="288"/>
      <c r="B413" s="227"/>
      <c r="C413" s="228"/>
      <c r="D413" s="290"/>
      <c r="E413" s="292">
        <f>'INGRESO DE DATOS'!C153</f>
        <v>0</v>
      </c>
      <c r="F413" s="294">
        <f>'INGRESO DE DATOS'!D153</f>
        <v>0</v>
      </c>
      <c r="G413" s="296">
        <f>IF('INGRESO DE DATOS'!F153&gt;=2,'INGRESO DE DATOS'!E153*'INGRESO DE DATOS'!F153,IF('INGRESO DE DATOS'!F153&lt;2,'INGRESO DE DATOS'!E153,0))+L413+L414+L415</f>
        <v>0</v>
      </c>
      <c r="H413" s="297">
        <f>IF('INGRESO DE DATOS'!F153&gt;=2,'INGRESO DE DATOS'!F153*10000,IF('INGRESO DE DATOS'!E153&lt;10000,'INGRESO DE DATOS'!E153,IF('INGRESO DE DATOS'!E153&gt;=10000,10000,0)))</f>
        <v>0</v>
      </c>
      <c r="I413" s="299">
        <f>IF('INGRESO DE DATOS'!F153&gt;=2,'INGRESO DE DATOS'!F153*3000,IF('INGRESO DE DATOS'!E153&gt;12000,3000,IF('INGRESO DE DATOS'!E153=12000,2000,IF('INGRESO DE DATOS'!E153&lt;12000,0))))</f>
        <v>0</v>
      </c>
      <c r="J413" s="301">
        <f>+G413-H413-I413-L413-L414-L415</f>
        <v>0</v>
      </c>
      <c r="K413" s="238"/>
      <c r="L413" s="233"/>
      <c r="M413" s="43"/>
    </row>
    <row r="414" spans="1:13" ht="13.5" customHeight="1" x14ac:dyDescent="0.3">
      <c r="A414" s="279"/>
      <c r="B414" s="137"/>
      <c r="C414" s="226"/>
      <c r="D414" s="280"/>
      <c r="E414" s="281"/>
      <c r="F414" s="282"/>
      <c r="G414" s="283"/>
      <c r="H414" s="285"/>
      <c r="I414" s="286"/>
      <c r="J414" s="287"/>
      <c r="K414" s="239"/>
      <c r="L414" s="234"/>
      <c r="M414" s="43"/>
    </row>
    <row r="415" spans="1:13" ht="13.5" customHeight="1" thickBot="1" x14ac:dyDescent="0.35">
      <c r="A415" s="289"/>
      <c r="B415" s="138"/>
      <c r="C415" s="139"/>
      <c r="D415" s="291"/>
      <c r="E415" s="293"/>
      <c r="F415" s="295"/>
      <c r="G415" s="284"/>
      <c r="H415" s="298"/>
      <c r="I415" s="300"/>
      <c r="J415" s="302"/>
      <c r="K415" s="240"/>
      <c r="L415" s="236"/>
      <c r="M415" s="43"/>
    </row>
    <row r="416" spans="1:13" ht="13.5" customHeight="1" x14ac:dyDescent="0.3">
      <c r="A416" s="279"/>
      <c r="B416" s="137"/>
      <c r="C416" s="226"/>
      <c r="D416" s="280"/>
      <c r="E416" s="281">
        <f>'INGRESO DE DATOS'!C154</f>
        <v>0</v>
      </c>
      <c r="F416" s="282">
        <f>'INGRESO DE DATOS'!D154</f>
        <v>0</v>
      </c>
      <c r="G416" s="283">
        <f>IF('INGRESO DE DATOS'!F154&gt;=2,'INGRESO DE DATOS'!E154*'INGRESO DE DATOS'!F154,IF('INGRESO DE DATOS'!F154&lt;2,'INGRESO DE DATOS'!E154,0))+L416+L417+L418</f>
        <v>0</v>
      </c>
      <c r="H416" s="285">
        <f>IF('INGRESO DE DATOS'!F154&gt;=2,'INGRESO DE DATOS'!F154*10000,IF('INGRESO DE DATOS'!E154&lt;10000,'INGRESO DE DATOS'!E154,IF('INGRESO DE DATOS'!E154&gt;=10000,10000,0)))</f>
        <v>0</v>
      </c>
      <c r="I416" s="286">
        <f>IF('INGRESO DE DATOS'!F154&gt;=2,'INGRESO DE DATOS'!F154*3000,IF('INGRESO DE DATOS'!E154&gt;12000,3000,IF('INGRESO DE DATOS'!E154=12000,2000,IF('INGRESO DE DATOS'!E154&lt;12000,0))))</f>
        <v>0</v>
      </c>
      <c r="J416" s="287">
        <f>+G416-H416-I416-L416-L417-L418</f>
        <v>0</v>
      </c>
      <c r="K416" s="243"/>
      <c r="L416" s="235"/>
      <c r="M416" s="43"/>
    </row>
    <row r="417" spans="1:13" ht="13.5" customHeight="1" x14ac:dyDescent="0.3">
      <c r="A417" s="279"/>
      <c r="B417" s="137"/>
      <c r="C417" s="226"/>
      <c r="D417" s="280"/>
      <c r="E417" s="281"/>
      <c r="F417" s="282"/>
      <c r="G417" s="283"/>
      <c r="H417" s="285"/>
      <c r="I417" s="286"/>
      <c r="J417" s="287"/>
      <c r="K417" s="239"/>
      <c r="L417" s="234"/>
      <c r="M417" s="43"/>
    </row>
    <row r="418" spans="1:13" ht="13.5" customHeight="1" thickBot="1" x14ac:dyDescent="0.35">
      <c r="A418" s="279"/>
      <c r="B418" s="137"/>
      <c r="C418" s="226"/>
      <c r="D418" s="280"/>
      <c r="E418" s="281"/>
      <c r="F418" s="282"/>
      <c r="G418" s="283"/>
      <c r="H418" s="285"/>
      <c r="I418" s="286"/>
      <c r="J418" s="287"/>
      <c r="K418" s="241"/>
      <c r="L418" s="242"/>
      <c r="M418" s="43"/>
    </row>
    <row r="419" spans="1:13" ht="13.5" customHeight="1" x14ac:dyDescent="0.3">
      <c r="A419" s="288"/>
      <c r="B419" s="227"/>
      <c r="C419" s="228"/>
      <c r="D419" s="290"/>
      <c r="E419" s="292">
        <f>'INGRESO DE DATOS'!C155</f>
        <v>0</v>
      </c>
      <c r="F419" s="294">
        <f>'INGRESO DE DATOS'!D155</f>
        <v>0</v>
      </c>
      <c r="G419" s="296">
        <f>IF('INGRESO DE DATOS'!F155&gt;=2,'INGRESO DE DATOS'!E155*'INGRESO DE DATOS'!F155,IF('INGRESO DE DATOS'!F155&lt;2,'INGRESO DE DATOS'!E155,0))+L419+L420+L421</f>
        <v>0</v>
      </c>
      <c r="H419" s="297">
        <f>IF('INGRESO DE DATOS'!F155&gt;=2,'INGRESO DE DATOS'!F155*10000,IF('INGRESO DE DATOS'!E155&lt;10000,'INGRESO DE DATOS'!E155,IF('INGRESO DE DATOS'!E155&gt;=10000,10000,0)))</f>
        <v>0</v>
      </c>
      <c r="I419" s="299">
        <f>IF('INGRESO DE DATOS'!F155&gt;=2,'INGRESO DE DATOS'!F155*3000,IF('INGRESO DE DATOS'!E155&gt;12000,3000,IF('INGRESO DE DATOS'!E155=12000,2000,IF('INGRESO DE DATOS'!E155&lt;12000,0))))</f>
        <v>0</v>
      </c>
      <c r="J419" s="301">
        <f>+G419-H419-I419-L419-L420-L421</f>
        <v>0</v>
      </c>
      <c r="K419" s="238"/>
      <c r="L419" s="233"/>
      <c r="M419" s="43"/>
    </row>
    <row r="420" spans="1:13" ht="13.5" customHeight="1" x14ac:dyDescent="0.3">
      <c r="A420" s="279"/>
      <c r="B420" s="137"/>
      <c r="C420" s="226"/>
      <c r="D420" s="280"/>
      <c r="E420" s="281"/>
      <c r="F420" s="282"/>
      <c r="G420" s="283"/>
      <c r="H420" s="285"/>
      <c r="I420" s="286"/>
      <c r="J420" s="287"/>
      <c r="K420" s="239"/>
      <c r="L420" s="234"/>
      <c r="M420" s="43"/>
    </row>
    <row r="421" spans="1:13" ht="13.5" customHeight="1" thickBot="1" x14ac:dyDescent="0.35">
      <c r="A421" s="289"/>
      <c r="B421" s="138"/>
      <c r="C421" s="139"/>
      <c r="D421" s="291"/>
      <c r="E421" s="293"/>
      <c r="F421" s="295"/>
      <c r="G421" s="284"/>
      <c r="H421" s="298"/>
      <c r="I421" s="300"/>
      <c r="J421" s="302"/>
      <c r="K421" s="240"/>
      <c r="L421" s="236"/>
      <c r="M421" s="43"/>
    </row>
    <row r="422" spans="1:13" ht="13.5" customHeight="1" x14ac:dyDescent="0.3">
      <c r="A422" s="279"/>
      <c r="B422" s="137"/>
      <c r="C422" s="226"/>
      <c r="D422" s="280"/>
      <c r="E422" s="281">
        <f>'INGRESO DE DATOS'!C156</f>
        <v>0</v>
      </c>
      <c r="F422" s="282">
        <f>'INGRESO DE DATOS'!D156</f>
        <v>0</v>
      </c>
      <c r="G422" s="283">
        <f>IF('INGRESO DE DATOS'!F156&gt;=2,'INGRESO DE DATOS'!E156*'INGRESO DE DATOS'!F156,IF('INGRESO DE DATOS'!F156&lt;2,'INGRESO DE DATOS'!E156,0))+L422+L423+L424</f>
        <v>0</v>
      </c>
      <c r="H422" s="285">
        <f>IF('INGRESO DE DATOS'!F156&gt;=2,'INGRESO DE DATOS'!F156*10000,IF('INGRESO DE DATOS'!E156&lt;10000,'INGRESO DE DATOS'!E156,IF('INGRESO DE DATOS'!E156&gt;=10000,10000,0)))</f>
        <v>0</v>
      </c>
      <c r="I422" s="286">
        <f>IF('INGRESO DE DATOS'!F156&gt;=2,'INGRESO DE DATOS'!F156*3000,IF('INGRESO DE DATOS'!E156&gt;12000,3000,IF('INGRESO DE DATOS'!E156=12000,2000,IF('INGRESO DE DATOS'!E156&lt;12000,0))))</f>
        <v>0</v>
      </c>
      <c r="J422" s="287">
        <f>G422-H422-I422-L422-L423-L424</f>
        <v>0</v>
      </c>
      <c r="K422" s="243"/>
      <c r="L422" s="235"/>
      <c r="M422" s="43"/>
    </row>
    <row r="423" spans="1:13" ht="13.5" customHeight="1" x14ac:dyDescent="0.3">
      <c r="A423" s="279"/>
      <c r="B423" s="137"/>
      <c r="C423" s="226"/>
      <c r="D423" s="280"/>
      <c r="E423" s="281"/>
      <c r="F423" s="282"/>
      <c r="G423" s="283"/>
      <c r="H423" s="285"/>
      <c r="I423" s="286"/>
      <c r="J423" s="287"/>
      <c r="K423" s="239"/>
      <c r="L423" s="234"/>
      <c r="M423" s="43"/>
    </row>
    <row r="424" spans="1:13" ht="13.5" customHeight="1" thickBot="1" x14ac:dyDescent="0.35">
      <c r="A424" s="279"/>
      <c r="B424" s="137"/>
      <c r="C424" s="226"/>
      <c r="D424" s="280"/>
      <c r="E424" s="281"/>
      <c r="F424" s="282"/>
      <c r="G424" s="283"/>
      <c r="H424" s="285"/>
      <c r="I424" s="286"/>
      <c r="J424" s="287"/>
      <c r="K424" s="241"/>
      <c r="L424" s="242"/>
      <c r="M424" s="43"/>
    </row>
    <row r="425" spans="1:13" ht="13.5" customHeight="1" x14ac:dyDescent="0.3">
      <c r="A425" s="288"/>
      <c r="B425" s="227"/>
      <c r="C425" s="228"/>
      <c r="D425" s="290"/>
      <c r="E425" s="292">
        <f>'INGRESO DE DATOS'!C157</f>
        <v>0</v>
      </c>
      <c r="F425" s="294">
        <f>'INGRESO DE DATOS'!D157</f>
        <v>0</v>
      </c>
      <c r="G425" s="296">
        <f>IF('INGRESO DE DATOS'!F157&gt;=2,'INGRESO DE DATOS'!E157*'INGRESO DE DATOS'!F157,IF('INGRESO DE DATOS'!F157&lt;2,'INGRESO DE DATOS'!E157,0))+L425+L426+L427</f>
        <v>0</v>
      </c>
      <c r="H425" s="297">
        <f>IF('INGRESO DE DATOS'!F157&gt;=2,'INGRESO DE DATOS'!F157*10000,IF('INGRESO DE DATOS'!E157&lt;10000,'INGRESO DE DATOS'!E157,IF('INGRESO DE DATOS'!E157&gt;=10000,10000,0)))</f>
        <v>0</v>
      </c>
      <c r="I425" s="299">
        <f>IF('INGRESO DE DATOS'!F157&gt;=2,'INGRESO DE DATOS'!F157*3000,IF('INGRESO DE DATOS'!E157&gt;12000,3000,IF('INGRESO DE DATOS'!E157=12000,2000,IF('INGRESO DE DATOS'!E157&lt;12000,0))))</f>
        <v>0</v>
      </c>
      <c r="J425" s="301">
        <f>G425-H425-I425-L425-L426-L427</f>
        <v>0</v>
      </c>
      <c r="K425" s="238"/>
      <c r="L425" s="233"/>
      <c r="M425" s="43"/>
    </row>
    <row r="426" spans="1:13" ht="13.5" customHeight="1" x14ac:dyDescent="0.3">
      <c r="A426" s="279"/>
      <c r="B426" s="137"/>
      <c r="C426" s="226"/>
      <c r="D426" s="280"/>
      <c r="E426" s="281"/>
      <c r="F426" s="282"/>
      <c r="G426" s="283"/>
      <c r="H426" s="285"/>
      <c r="I426" s="286"/>
      <c r="J426" s="287"/>
      <c r="K426" s="239"/>
      <c r="L426" s="234"/>
      <c r="M426" s="43"/>
    </row>
    <row r="427" spans="1:13" ht="13.5" customHeight="1" thickBot="1" x14ac:dyDescent="0.35">
      <c r="A427" s="289"/>
      <c r="B427" s="138"/>
      <c r="C427" s="139"/>
      <c r="D427" s="291"/>
      <c r="E427" s="293"/>
      <c r="F427" s="295"/>
      <c r="G427" s="284"/>
      <c r="H427" s="298"/>
      <c r="I427" s="300"/>
      <c r="J427" s="302"/>
      <c r="K427" s="240"/>
      <c r="L427" s="236"/>
      <c r="M427" s="43"/>
    </row>
    <row r="428" spans="1:13" ht="13.5" customHeight="1" x14ac:dyDescent="0.3">
      <c r="A428" s="279"/>
      <c r="B428" s="137"/>
      <c r="C428" s="226"/>
      <c r="D428" s="280"/>
      <c r="E428" s="281">
        <f>'INGRESO DE DATOS'!C158</f>
        <v>0</v>
      </c>
      <c r="F428" s="282">
        <f>'INGRESO DE DATOS'!D158</f>
        <v>0</v>
      </c>
      <c r="G428" s="283">
        <f>IF('INGRESO DE DATOS'!F158&gt;=2,'INGRESO DE DATOS'!E158*'INGRESO DE DATOS'!F158,IF('INGRESO DE DATOS'!F158&lt;2,'INGRESO DE DATOS'!E158,0))+L428+L429+L430</f>
        <v>0</v>
      </c>
      <c r="H428" s="285">
        <f>IF('INGRESO DE DATOS'!F158&gt;=2,'INGRESO DE DATOS'!F158*10000,IF('INGRESO DE DATOS'!E158&lt;10000,'INGRESO DE DATOS'!E158,IF('INGRESO DE DATOS'!E158&gt;=10000,10000,0)))</f>
        <v>0</v>
      </c>
      <c r="I428" s="286">
        <f>IF('INGRESO DE DATOS'!F158&gt;=2,'INGRESO DE DATOS'!F158*3000,IF('INGRESO DE DATOS'!E158&gt;12000,3000,IF('INGRESO DE DATOS'!E158=12000,2000,IF('INGRESO DE DATOS'!E158&lt;12000,0))))</f>
        <v>0</v>
      </c>
      <c r="J428" s="287">
        <f>+G428-H428-I428-L428-L429-L430</f>
        <v>0</v>
      </c>
      <c r="K428" s="243"/>
      <c r="L428" s="235"/>
      <c r="M428" s="43"/>
    </row>
    <row r="429" spans="1:13" ht="13.5" customHeight="1" x14ac:dyDescent="0.3">
      <c r="A429" s="279"/>
      <c r="B429" s="137"/>
      <c r="C429" s="226"/>
      <c r="D429" s="280"/>
      <c r="E429" s="281"/>
      <c r="F429" s="282"/>
      <c r="G429" s="283"/>
      <c r="H429" s="285"/>
      <c r="I429" s="286"/>
      <c r="J429" s="287"/>
      <c r="K429" s="239"/>
      <c r="L429" s="234"/>
      <c r="M429" s="43"/>
    </row>
    <row r="430" spans="1:13" ht="13.5" customHeight="1" thickBot="1" x14ac:dyDescent="0.35">
      <c r="A430" s="279"/>
      <c r="B430" s="137"/>
      <c r="C430" s="226"/>
      <c r="D430" s="280"/>
      <c r="E430" s="281"/>
      <c r="F430" s="282"/>
      <c r="G430" s="283"/>
      <c r="H430" s="285"/>
      <c r="I430" s="286"/>
      <c r="J430" s="287"/>
      <c r="K430" s="241"/>
      <c r="L430" s="242"/>
      <c r="M430" s="43"/>
    </row>
    <row r="431" spans="1:13" ht="13.5" customHeight="1" x14ac:dyDescent="0.3">
      <c r="A431" s="288"/>
      <c r="B431" s="227"/>
      <c r="C431" s="228"/>
      <c r="D431" s="290"/>
      <c r="E431" s="292">
        <f>'INGRESO DE DATOS'!C159</f>
        <v>0</v>
      </c>
      <c r="F431" s="294">
        <f>'INGRESO DE DATOS'!D159</f>
        <v>0</v>
      </c>
      <c r="G431" s="296">
        <f>IF('INGRESO DE DATOS'!F159&gt;=2,'INGRESO DE DATOS'!E159*'INGRESO DE DATOS'!F159,IF('INGRESO DE DATOS'!F159&lt;2,'INGRESO DE DATOS'!E159,0))+L431+L432+L433</f>
        <v>0</v>
      </c>
      <c r="H431" s="297">
        <f>IF('INGRESO DE DATOS'!F159&gt;=2,'INGRESO DE DATOS'!F159*10000,IF('INGRESO DE DATOS'!E159&lt;10000,'INGRESO DE DATOS'!E159,IF('INGRESO DE DATOS'!E159&gt;=10000,10000,0)))</f>
        <v>0</v>
      </c>
      <c r="I431" s="299">
        <f>IF('INGRESO DE DATOS'!F159&gt;=2,'INGRESO DE DATOS'!F159*3000,IF('INGRESO DE DATOS'!E159&gt;12000,3000,IF('INGRESO DE DATOS'!E159=12000,2000,IF('INGRESO DE DATOS'!E159&lt;12000,0))))</f>
        <v>0</v>
      </c>
      <c r="J431" s="301">
        <f>+G431-H431-I431-L431-L432-L433</f>
        <v>0</v>
      </c>
      <c r="K431" s="238"/>
      <c r="L431" s="233"/>
      <c r="M431" s="43"/>
    </row>
    <row r="432" spans="1:13" ht="13.5" customHeight="1" x14ac:dyDescent="0.3">
      <c r="A432" s="279"/>
      <c r="B432" s="137"/>
      <c r="C432" s="226"/>
      <c r="D432" s="280"/>
      <c r="E432" s="281"/>
      <c r="F432" s="282"/>
      <c r="G432" s="283"/>
      <c r="H432" s="285"/>
      <c r="I432" s="286"/>
      <c r="J432" s="287"/>
      <c r="K432" s="239"/>
      <c r="L432" s="234"/>
      <c r="M432" s="43"/>
    </row>
    <row r="433" spans="1:13" ht="13.5" customHeight="1" thickBot="1" x14ac:dyDescent="0.35">
      <c r="A433" s="289"/>
      <c r="B433" s="138"/>
      <c r="C433" s="139"/>
      <c r="D433" s="291"/>
      <c r="E433" s="293"/>
      <c r="F433" s="295"/>
      <c r="G433" s="284"/>
      <c r="H433" s="298"/>
      <c r="I433" s="300"/>
      <c r="J433" s="302"/>
      <c r="K433" s="240"/>
      <c r="L433" s="236"/>
      <c r="M433" s="43"/>
    </row>
    <row r="434" spans="1:13" ht="13.5" customHeight="1" x14ac:dyDescent="0.3">
      <c r="A434" s="279"/>
      <c r="B434" s="137"/>
      <c r="C434" s="226"/>
      <c r="D434" s="280"/>
      <c r="E434" s="281">
        <f>'INGRESO DE DATOS'!C160</f>
        <v>0</v>
      </c>
      <c r="F434" s="282">
        <f>'INGRESO DE DATOS'!D160</f>
        <v>0</v>
      </c>
      <c r="G434" s="283">
        <f>IF('INGRESO DE DATOS'!F160&gt;=2,'INGRESO DE DATOS'!E160*'INGRESO DE DATOS'!F160,IF('INGRESO DE DATOS'!F160&lt;2,'INGRESO DE DATOS'!E160,0))+L434+L435+L436</f>
        <v>0</v>
      </c>
      <c r="H434" s="285">
        <f>IF('INGRESO DE DATOS'!F160&gt;=2,'INGRESO DE DATOS'!F160*10000,IF('INGRESO DE DATOS'!E160&lt;10000,'INGRESO DE DATOS'!E160,IF('INGRESO DE DATOS'!E160&gt;=10000,10000,0)))</f>
        <v>0</v>
      </c>
      <c r="I434" s="286">
        <f>IF('INGRESO DE DATOS'!F160&gt;=2,'INGRESO DE DATOS'!F160*3000,IF('INGRESO DE DATOS'!E160&gt;12000,3000,IF('INGRESO DE DATOS'!E160=12000,2000,IF('INGRESO DE DATOS'!E160&lt;12000,0))))</f>
        <v>0</v>
      </c>
      <c r="J434" s="287">
        <f>+G434-H434-I434-L434-L435-L436</f>
        <v>0</v>
      </c>
      <c r="K434" s="243"/>
      <c r="L434" s="235"/>
      <c r="M434" s="43"/>
    </row>
    <row r="435" spans="1:13" ht="13.5" customHeight="1" x14ac:dyDescent="0.3">
      <c r="A435" s="279"/>
      <c r="B435" s="137"/>
      <c r="C435" s="226"/>
      <c r="D435" s="280"/>
      <c r="E435" s="281"/>
      <c r="F435" s="282"/>
      <c r="G435" s="283"/>
      <c r="H435" s="285"/>
      <c r="I435" s="286"/>
      <c r="J435" s="287"/>
      <c r="K435" s="239"/>
      <c r="L435" s="234"/>
      <c r="M435" s="43"/>
    </row>
    <row r="436" spans="1:13" ht="13.5" customHeight="1" thickBot="1" x14ac:dyDescent="0.35">
      <c r="A436" s="279"/>
      <c r="B436" s="137"/>
      <c r="C436" s="226"/>
      <c r="D436" s="280"/>
      <c r="E436" s="281"/>
      <c r="F436" s="282"/>
      <c r="G436" s="283"/>
      <c r="H436" s="285"/>
      <c r="I436" s="286"/>
      <c r="J436" s="287"/>
      <c r="K436" s="241"/>
      <c r="L436" s="242"/>
      <c r="M436" s="43"/>
    </row>
    <row r="437" spans="1:13" ht="13.5" customHeight="1" x14ac:dyDescent="0.3">
      <c r="A437" s="288"/>
      <c r="B437" s="227"/>
      <c r="C437" s="228"/>
      <c r="D437" s="290"/>
      <c r="E437" s="292">
        <f>'INGRESO DE DATOS'!C161</f>
        <v>0</v>
      </c>
      <c r="F437" s="294">
        <f>'INGRESO DE DATOS'!D161</f>
        <v>0</v>
      </c>
      <c r="G437" s="296">
        <f>IF('INGRESO DE DATOS'!F161&gt;=2,'INGRESO DE DATOS'!E161*'INGRESO DE DATOS'!F161,IF('INGRESO DE DATOS'!F161&lt;2,'INGRESO DE DATOS'!E161,0))+L437+L438+L439</f>
        <v>0</v>
      </c>
      <c r="H437" s="297">
        <f>IF('INGRESO DE DATOS'!F161&gt;=2,'INGRESO DE DATOS'!F161*10000,IF('INGRESO DE DATOS'!E161&lt;10000,'INGRESO DE DATOS'!E161,IF('INGRESO DE DATOS'!E161&gt;=10000,10000,0)))</f>
        <v>0</v>
      </c>
      <c r="I437" s="299">
        <f>IF('INGRESO DE DATOS'!F161&gt;=2,'INGRESO DE DATOS'!F161*3000,IF('INGRESO DE DATOS'!E161&gt;12000,3000,IF('INGRESO DE DATOS'!E161=12000,2000,IF('INGRESO DE DATOS'!E161&lt;12000,0))))</f>
        <v>0</v>
      </c>
      <c r="J437" s="301">
        <f>+G437-H437-I437-L437-L438-L439</f>
        <v>0</v>
      </c>
      <c r="K437" s="238"/>
      <c r="L437" s="233"/>
      <c r="M437" s="43"/>
    </row>
    <row r="438" spans="1:13" ht="13.5" customHeight="1" x14ac:dyDescent="0.3">
      <c r="A438" s="279"/>
      <c r="B438" s="137"/>
      <c r="C438" s="226"/>
      <c r="D438" s="280"/>
      <c r="E438" s="281"/>
      <c r="F438" s="282"/>
      <c r="G438" s="283"/>
      <c r="H438" s="285"/>
      <c r="I438" s="286"/>
      <c r="J438" s="287"/>
      <c r="K438" s="239"/>
      <c r="L438" s="234"/>
      <c r="M438" s="43"/>
    </row>
    <row r="439" spans="1:13" ht="13.5" customHeight="1" thickBot="1" x14ac:dyDescent="0.35">
      <c r="A439" s="289"/>
      <c r="B439" s="138"/>
      <c r="C439" s="139"/>
      <c r="D439" s="291"/>
      <c r="E439" s="293"/>
      <c r="F439" s="295"/>
      <c r="G439" s="284"/>
      <c r="H439" s="298"/>
      <c r="I439" s="300"/>
      <c r="J439" s="302"/>
      <c r="K439" s="240"/>
      <c r="L439" s="236"/>
      <c r="M439" s="43"/>
    </row>
    <row r="440" spans="1:13" ht="13.5" customHeight="1" x14ac:dyDescent="0.3">
      <c r="A440" s="279"/>
      <c r="B440" s="137"/>
      <c r="C440" s="226"/>
      <c r="D440" s="280"/>
      <c r="E440" s="281">
        <f>'INGRESO DE DATOS'!C162</f>
        <v>0</v>
      </c>
      <c r="F440" s="282">
        <f>'INGRESO DE DATOS'!D162</f>
        <v>0</v>
      </c>
      <c r="G440" s="283">
        <f>IF('INGRESO DE DATOS'!F162&gt;=2,'INGRESO DE DATOS'!E162*'INGRESO DE DATOS'!F162,IF('INGRESO DE DATOS'!F162&lt;2,'INGRESO DE DATOS'!E162,0))+L440+L441+L442</f>
        <v>0</v>
      </c>
      <c r="H440" s="285">
        <f>IF('INGRESO DE DATOS'!F162&gt;=2,'INGRESO DE DATOS'!F162*10000,IF('INGRESO DE DATOS'!E162&lt;10000,'INGRESO DE DATOS'!E162,IF('INGRESO DE DATOS'!E162&gt;=10000,10000,0)))</f>
        <v>0</v>
      </c>
      <c r="I440" s="286">
        <f>IF('INGRESO DE DATOS'!F162&gt;=2,'INGRESO DE DATOS'!F162*3000,IF('INGRESO DE DATOS'!E162&gt;12000,3000,IF('INGRESO DE DATOS'!E162=12000,2000,IF('INGRESO DE DATOS'!E162&lt;12000,0))))</f>
        <v>0</v>
      </c>
      <c r="J440" s="287">
        <f>+G440-H440-I440-L440-L441-L442</f>
        <v>0</v>
      </c>
      <c r="K440" s="243"/>
      <c r="L440" s="235"/>
      <c r="M440" s="43"/>
    </row>
    <row r="441" spans="1:13" ht="13.5" customHeight="1" x14ac:dyDescent="0.3">
      <c r="A441" s="279"/>
      <c r="B441" s="137"/>
      <c r="C441" s="226"/>
      <c r="D441" s="280"/>
      <c r="E441" s="281"/>
      <c r="F441" s="282"/>
      <c r="G441" s="283"/>
      <c r="H441" s="285"/>
      <c r="I441" s="286"/>
      <c r="J441" s="287"/>
      <c r="K441" s="239"/>
      <c r="L441" s="234"/>
      <c r="M441" s="43"/>
    </row>
    <row r="442" spans="1:13" ht="13.5" customHeight="1" thickBot="1" x14ac:dyDescent="0.35">
      <c r="A442" s="279"/>
      <c r="B442" s="137"/>
      <c r="C442" s="226"/>
      <c r="D442" s="280"/>
      <c r="E442" s="281"/>
      <c r="F442" s="282"/>
      <c r="G442" s="283"/>
      <c r="H442" s="285"/>
      <c r="I442" s="286"/>
      <c r="J442" s="287"/>
      <c r="K442" s="241"/>
      <c r="L442" s="242"/>
      <c r="M442" s="43"/>
    </row>
    <row r="443" spans="1:13" ht="13.5" customHeight="1" x14ac:dyDescent="0.3">
      <c r="A443" s="288"/>
      <c r="B443" s="227"/>
      <c r="C443" s="228"/>
      <c r="D443" s="290"/>
      <c r="E443" s="292">
        <f>'INGRESO DE DATOS'!C163</f>
        <v>0</v>
      </c>
      <c r="F443" s="294">
        <f>'INGRESO DE DATOS'!D163</f>
        <v>0</v>
      </c>
      <c r="G443" s="296">
        <f>IF('INGRESO DE DATOS'!F163&gt;=2,'INGRESO DE DATOS'!E163*'INGRESO DE DATOS'!F163,IF('INGRESO DE DATOS'!F163&lt;2,'INGRESO DE DATOS'!E163,0))+L443+L444+L445</f>
        <v>0</v>
      </c>
      <c r="H443" s="297">
        <f>IF('INGRESO DE DATOS'!F163&gt;=2,'INGRESO DE DATOS'!F163*10000,IF('INGRESO DE DATOS'!E163&lt;10000,'INGRESO DE DATOS'!E163,IF('INGRESO DE DATOS'!E163&gt;=10000,10000,0)))</f>
        <v>0</v>
      </c>
      <c r="I443" s="299">
        <f>IF('INGRESO DE DATOS'!F163&gt;=2,'INGRESO DE DATOS'!F163*3000,IF('INGRESO DE DATOS'!E163&gt;12000,3000,IF('INGRESO DE DATOS'!E163=12000,2000,IF('INGRESO DE DATOS'!E163&lt;12000,0))))</f>
        <v>0</v>
      </c>
      <c r="J443" s="301">
        <f>+G443-H443-I443-L443-L444-L445</f>
        <v>0</v>
      </c>
      <c r="K443" s="238"/>
      <c r="L443" s="233"/>
      <c r="M443" s="43"/>
    </row>
    <row r="444" spans="1:13" ht="13.5" customHeight="1" x14ac:dyDescent="0.3">
      <c r="A444" s="279"/>
      <c r="B444" s="137"/>
      <c r="C444" s="226"/>
      <c r="D444" s="280"/>
      <c r="E444" s="281"/>
      <c r="F444" s="282"/>
      <c r="G444" s="283"/>
      <c r="H444" s="285"/>
      <c r="I444" s="286"/>
      <c r="J444" s="287"/>
      <c r="K444" s="239"/>
      <c r="L444" s="234"/>
      <c r="M444" s="43"/>
    </row>
    <row r="445" spans="1:13" ht="13.5" customHeight="1" thickBot="1" x14ac:dyDescent="0.35">
      <c r="A445" s="289"/>
      <c r="B445" s="138"/>
      <c r="C445" s="139"/>
      <c r="D445" s="291"/>
      <c r="E445" s="293"/>
      <c r="F445" s="295"/>
      <c r="G445" s="284"/>
      <c r="H445" s="298"/>
      <c r="I445" s="300"/>
      <c r="J445" s="302"/>
      <c r="K445" s="240"/>
      <c r="L445" s="236"/>
      <c r="M445" s="43"/>
    </row>
    <row r="446" spans="1:13" ht="13.5" customHeight="1" x14ac:dyDescent="0.3">
      <c r="A446" s="279"/>
      <c r="B446" s="137"/>
      <c r="C446" s="226"/>
      <c r="D446" s="280"/>
      <c r="E446" s="281">
        <f>'INGRESO DE DATOS'!C164</f>
        <v>0</v>
      </c>
      <c r="F446" s="282">
        <f>'INGRESO DE DATOS'!D162</f>
        <v>0</v>
      </c>
      <c r="G446" s="283">
        <f>IF('INGRESO DE DATOS'!F164&gt;=2,'INGRESO DE DATOS'!E164*'INGRESO DE DATOS'!F164,IF('INGRESO DE DATOS'!F164&lt;2,'INGRESO DE DATOS'!E164,0))+L446+L447+L448</f>
        <v>0</v>
      </c>
      <c r="H446" s="285">
        <f>IF('INGRESO DE DATOS'!F164&gt;=2,'INGRESO DE DATOS'!F164*10000,IF('INGRESO DE DATOS'!E164&lt;10000,'INGRESO DE DATOS'!E164,IF('INGRESO DE DATOS'!E164&gt;=10000,10000,0)))</f>
        <v>0</v>
      </c>
      <c r="I446" s="286">
        <f>IF('INGRESO DE DATOS'!F164&gt;=2,'INGRESO DE DATOS'!F164*3000,IF('INGRESO DE DATOS'!E164&gt;12000,3000,IF('INGRESO DE DATOS'!E164=12000,2000,IF('INGRESO DE DATOS'!E164&lt;12000,0))))</f>
        <v>0</v>
      </c>
      <c r="J446" s="287">
        <f>+G446-H446-I446-L446-L447-L448</f>
        <v>0</v>
      </c>
      <c r="K446" s="243"/>
      <c r="L446" s="235"/>
      <c r="M446" s="43"/>
    </row>
    <row r="447" spans="1:13" ht="13.5" customHeight="1" x14ac:dyDescent="0.3">
      <c r="A447" s="279"/>
      <c r="B447" s="137"/>
      <c r="C447" s="226"/>
      <c r="D447" s="280"/>
      <c r="E447" s="281"/>
      <c r="F447" s="282"/>
      <c r="G447" s="283"/>
      <c r="H447" s="285"/>
      <c r="I447" s="286"/>
      <c r="J447" s="287"/>
      <c r="K447" s="239"/>
      <c r="L447" s="234"/>
      <c r="M447" s="43"/>
    </row>
    <row r="448" spans="1:13" ht="13.5" customHeight="1" thickBot="1" x14ac:dyDescent="0.35">
      <c r="A448" s="279"/>
      <c r="B448" s="137"/>
      <c r="C448" s="226"/>
      <c r="D448" s="280"/>
      <c r="E448" s="281"/>
      <c r="F448" s="282"/>
      <c r="G448" s="283"/>
      <c r="H448" s="285"/>
      <c r="I448" s="286"/>
      <c r="J448" s="287"/>
      <c r="K448" s="241"/>
      <c r="L448" s="242"/>
      <c r="M448" s="43"/>
    </row>
    <row r="449" spans="1:15" ht="13.5" customHeight="1" x14ac:dyDescent="0.3">
      <c r="A449" s="288"/>
      <c r="B449" s="227"/>
      <c r="C449" s="228"/>
      <c r="D449" s="290"/>
      <c r="E449" s="292">
        <f>'INGRESO DE DATOS'!C165</f>
        <v>0</v>
      </c>
      <c r="F449" s="294">
        <f>'INGRESO DE DATOS'!D165</f>
        <v>0</v>
      </c>
      <c r="G449" s="296">
        <f>IF('INGRESO DE DATOS'!F165&gt;=2,'INGRESO DE DATOS'!E165*'INGRESO DE DATOS'!F165,IF('INGRESO DE DATOS'!F165&lt;2,'INGRESO DE DATOS'!E165,0))+L449+L450+L451</f>
        <v>0</v>
      </c>
      <c r="H449" s="297">
        <f>IF('INGRESO DE DATOS'!F165&gt;=2,'INGRESO DE DATOS'!F165*10000,IF('INGRESO DE DATOS'!E165&lt;10000,'INGRESO DE DATOS'!E165,IF('INGRESO DE DATOS'!E165&gt;=10000,10000,0)))</f>
        <v>0</v>
      </c>
      <c r="I449" s="299">
        <f>IF('INGRESO DE DATOS'!F165&gt;=2,'INGRESO DE DATOS'!F165*3000,IF('INGRESO DE DATOS'!E165&gt;12000,3000,IF('INGRESO DE DATOS'!E165=12000,2000,IF('INGRESO DE DATOS'!E165&lt;12000,0))))</f>
        <v>0</v>
      </c>
      <c r="J449" s="301">
        <f>+G449-H449-I449-L449-L450-L451</f>
        <v>0</v>
      </c>
      <c r="K449" s="238"/>
      <c r="L449" s="233"/>
      <c r="M449" s="43"/>
    </row>
    <row r="450" spans="1:15" ht="13.5" customHeight="1" x14ac:dyDescent="0.3">
      <c r="A450" s="279"/>
      <c r="B450" s="137"/>
      <c r="C450" s="226"/>
      <c r="D450" s="280"/>
      <c r="E450" s="281"/>
      <c r="F450" s="282"/>
      <c r="G450" s="283"/>
      <c r="H450" s="285"/>
      <c r="I450" s="286"/>
      <c r="J450" s="287"/>
      <c r="K450" s="239"/>
      <c r="L450" s="234"/>
      <c r="M450" s="43"/>
    </row>
    <row r="451" spans="1:15" ht="13.5" customHeight="1" thickBot="1" x14ac:dyDescent="0.35">
      <c r="A451" s="289"/>
      <c r="B451" s="138"/>
      <c r="C451" s="139"/>
      <c r="D451" s="291"/>
      <c r="E451" s="293"/>
      <c r="F451" s="295"/>
      <c r="G451" s="284"/>
      <c r="H451" s="298"/>
      <c r="I451" s="300"/>
      <c r="J451" s="302"/>
      <c r="K451" s="240"/>
      <c r="L451" s="236"/>
      <c r="M451" s="43"/>
    </row>
    <row r="452" spans="1:15" ht="13.5" customHeight="1" x14ac:dyDescent="0.3">
      <c r="A452" s="279"/>
      <c r="B452" s="137"/>
      <c r="C452" s="226"/>
      <c r="D452" s="280"/>
      <c r="E452" s="281">
        <f>'INGRESO DE DATOS'!C166</f>
        <v>0</v>
      </c>
      <c r="F452" s="282">
        <f>'INGRESO DE DATOS'!D165</f>
        <v>0</v>
      </c>
      <c r="G452" s="283">
        <f>IF('INGRESO DE DATOS'!F166&gt;=2,'INGRESO DE DATOS'!E166*'INGRESO DE DATOS'!F166,IF('INGRESO DE DATOS'!F166&lt;2,'INGRESO DE DATOS'!E166,0))+L452+L453+L454</f>
        <v>0</v>
      </c>
      <c r="H452" s="285">
        <f>IF('INGRESO DE DATOS'!F166&gt;=2,'INGRESO DE DATOS'!F166*10000,IF('INGRESO DE DATOS'!E166&lt;10000,'INGRESO DE DATOS'!E166,IF('INGRESO DE DATOS'!E166&gt;=10000,10000,0)))</f>
        <v>0</v>
      </c>
      <c r="I452" s="286">
        <f>IF('INGRESO DE DATOS'!F166&gt;=2,'INGRESO DE DATOS'!F166*3000,IF('INGRESO DE DATOS'!E166&gt;12000,3000,IF('INGRESO DE DATOS'!E166=12000,2000,IF('INGRESO DE DATOS'!E166&lt;12000,0))))</f>
        <v>0</v>
      </c>
      <c r="J452" s="287">
        <f>+G452-H452-I452-L452-L453-L454</f>
        <v>0</v>
      </c>
      <c r="K452" s="243"/>
      <c r="L452" s="235"/>
      <c r="M452" s="43"/>
    </row>
    <row r="453" spans="1:15" ht="13.5" customHeight="1" x14ac:dyDescent="0.3">
      <c r="A453" s="279"/>
      <c r="B453" s="137"/>
      <c r="C453" s="226"/>
      <c r="D453" s="280"/>
      <c r="E453" s="281"/>
      <c r="F453" s="282"/>
      <c r="G453" s="283"/>
      <c r="H453" s="285"/>
      <c r="I453" s="286"/>
      <c r="J453" s="287"/>
      <c r="K453" s="239"/>
      <c r="L453" s="234"/>
      <c r="M453" s="43"/>
    </row>
    <row r="454" spans="1:15" ht="13.5" customHeight="1" thickBot="1" x14ac:dyDescent="0.35">
      <c r="A454" s="279"/>
      <c r="B454" s="137"/>
      <c r="C454" s="226"/>
      <c r="D454" s="280"/>
      <c r="E454" s="281"/>
      <c r="F454" s="282"/>
      <c r="G454" s="283"/>
      <c r="H454" s="285"/>
      <c r="I454" s="286"/>
      <c r="J454" s="287"/>
      <c r="K454" s="241"/>
      <c r="L454" s="242"/>
      <c r="M454" s="43"/>
    </row>
    <row r="455" spans="1:15" ht="13.5" customHeight="1" x14ac:dyDescent="0.3">
      <c r="A455" s="288"/>
      <c r="B455" s="227"/>
      <c r="C455" s="228"/>
      <c r="D455" s="290"/>
      <c r="E455" s="292">
        <f>'INGRESO DE DATOS'!C167</f>
        <v>0</v>
      </c>
      <c r="F455" s="294">
        <f>'INGRESO DE DATOS'!D167</f>
        <v>0</v>
      </c>
      <c r="G455" s="296">
        <f>IF('INGRESO DE DATOS'!F167&gt;=2,'INGRESO DE DATOS'!E167*'INGRESO DE DATOS'!F167,IF('INGRESO DE DATOS'!F167&lt;2,'INGRESO DE DATOS'!E167,0))+L455+L456+L457</f>
        <v>0</v>
      </c>
      <c r="H455" s="297">
        <f>IF('INGRESO DE DATOS'!F167&gt;=2,'INGRESO DE DATOS'!F167*10000,IF('INGRESO DE DATOS'!E167&lt;10000,'INGRESO DE DATOS'!E167,IF('INGRESO DE DATOS'!E167&gt;=10000,10000,0)))</f>
        <v>0</v>
      </c>
      <c r="I455" s="299">
        <f>IF('INGRESO DE DATOS'!F167&gt;=2,'INGRESO DE DATOS'!F167*3000,IF('INGRESO DE DATOS'!E167&gt;12000,3000,IF('INGRESO DE DATOS'!E167=12000,2000,IF('INGRESO DE DATOS'!E167&lt;12000,0))))</f>
        <v>0</v>
      </c>
      <c r="J455" s="301">
        <f>G455-H455-I455-L455-L456-L457</f>
        <v>0</v>
      </c>
      <c r="K455" s="238"/>
      <c r="L455" s="233"/>
      <c r="M455" s="43"/>
    </row>
    <row r="456" spans="1:15" ht="13.5" customHeight="1" x14ac:dyDescent="0.3">
      <c r="A456" s="279"/>
      <c r="B456" s="137"/>
      <c r="C456" s="226"/>
      <c r="D456" s="280"/>
      <c r="E456" s="281"/>
      <c r="F456" s="282"/>
      <c r="G456" s="283"/>
      <c r="H456" s="285"/>
      <c r="I456" s="286"/>
      <c r="J456" s="287"/>
      <c r="K456" s="239"/>
      <c r="L456" s="234"/>
      <c r="M456" s="43"/>
    </row>
    <row r="457" spans="1:15" ht="13.5" customHeight="1" thickBot="1" x14ac:dyDescent="0.35">
      <c r="A457" s="289"/>
      <c r="B457" s="138"/>
      <c r="C457" s="139"/>
      <c r="D457" s="291"/>
      <c r="E457" s="293"/>
      <c r="F457" s="295"/>
      <c r="G457" s="284"/>
      <c r="H457" s="298"/>
      <c r="I457" s="300"/>
      <c r="J457" s="302"/>
      <c r="K457" s="240"/>
      <c r="L457" s="236"/>
      <c r="M457" s="43"/>
    </row>
    <row r="458" spans="1:15" ht="13.5" customHeight="1" x14ac:dyDescent="0.3">
      <c r="A458" s="279"/>
      <c r="B458" s="137"/>
      <c r="C458" s="226"/>
      <c r="D458" s="280"/>
      <c r="E458" s="281">
        <f>'INGRESO DE DATOS'!C168</f>
        <v>0</v>
      </c>
      <c r="F458" s="282">
        <f>'INGRESO DE DATOS'!D168</f>
        <v>0</v>
      </c>
      <c r="G458" s="283">
        <f>IF('INGRESO DE DATOS'!F168&gt;=2,'INGRESO DE DATOS'!E168*'INGRESO DE DATOS'!F168,IF('INGRESO DE DATOS'!F168&lt;2,'INGRESO DE DATOS'!E168,0))+L458+L459+L460</f>
        <v>0</v>
      </c>
      <c r="H458" s="285">
        <f>IF('INGRESO DE DATOS'!F168&gt;=2,'INGRESO DE DATOS'!F168*10000,IF('INGRESO DE DATOS'!E168&lt;10000,'INGRESO DE DATOS'!E168,IF('INGRESO DE DATOS'!E168&gt;=10000,10000,0)))</f>
        <v>0</v>
      </c>
      <c r="I458" s="286">
        <f>IF('INGRESO DE DATOS'!F168&gt;=2,'INGRESO DE DATOS'!F168*3000,IF('INGRESO DE DATOS'!E168&gt;12000,3000,IF('INGRESO DE DATOS'!E168=12000,2000,IF('INGRESO DE DATOS'!E168&lt;12000,0))))</f>
        <v>0</v>
      </c>
      <c r="J458" s="287">
        <f>G458-H458-I458-L458-L459-L460</f>
        <v>0</v>
      </c>
      <c r="K458" s="243"/>
      <c r="L458" s="235"/>
      <c r="M458" s="43"/>
    </row>
    <row r="459" spans="1:15" ht="13.5" customHeight="1" x14ac:dyDescent="0.3">
      <c r="A459" s="279"/>
      <c r="B459" s="137"/>
      <c r="C459" s="226"/>
      <c r="D459" s="280"/>
      <c r="E459" s="281"/>
      <c r="F459" s="282"/>
      <c r="G459" s="283"/>
      <c r="H459" s="285"/>
      <c r="I459" s="286"/>
      <c r="J459" s="287"/>
      <c r="K459" s="239"/>
      <c r="L459" s="234"/>
      <c r="M459" s="43"/>
    </row>
    <row r="460" spans="1:15" ht="13.5" customHeight="1" thickBot="1" x14ac:dyDescent="0.35">
      <c r="A460" s="279"/>
      <c r="B460" s="137"/>
      <c r="C460" s="226"/>
      <c r="D460" s="280"/>
      <c r="E460" s="281"/>
      <c r="F460" s="282"/>
      <c r="G460" s="284"/>
      <c r="H460" s="285"/>
      <c r="I460" s="286"/>
      <c r="J460" s="287"/>
      <c r="K460" s="241"/>
      <c r="L460" s="242"/>
      <c r="M460" s="43"/>
    </row>
    <row r="461" spans="1:15" ht="13.5" customHeight="1" x14ac:dyDescent="0.3">
      <c r="A461" s="288"/>
      <c r="B461" s="227" t="str">
        <f>IF(G461&gt;1,'INGRESO DE DATOS'!$I$9," ")</f>
        <v xml:space="preserve"> </v>
      </c>
      <c r="C461" s="228"/>
      <c r="D461" s="290"/>
      <c r="E461" s="313" t="s">
        <v>119</v>
      </c>
      <c r="F461" s="319"/>
      <c r="G461" s="296">
        <f>+L461+L462+L463</f>
        <v>0</v>
      </c>
      <c r="H461" s="316"/>
      <c r="I461" s="299"/>
      <c r="J461" s="301"/>
      <c r="K461" s="238"/>
      <c r="L461" s="233"/>
      <c r="M461" s="43"/>
    </row>
    <row r="462" spans="1:15" ht="13.5" customHeight="1" x14ac:dyDescent="0.3">
      <c r="A462" s="279"/>
      <c r="B462" s="137"/>
      <c r="C462" s="226"/>
      <c r="D462" s="280"/>
      <c r="E462" s="314"/>
      <c r="F462" s="320"/>
      <c r="G462" s="283"/>
      <c r="H462" s="317"/>
      <c r="I462" s="286"/>
      <c r="J462" s="287"/>
      <c r="K462" s="239"/>
      <c r="L462" s="234"/>
      <c r="M462" s="43"/>
    </row>
    <row r="463" spans="1:15" ht="13.5" customHeight="1" thickBot="1" x14ac:dyDescent="0.35">
      <c r="A463" s="289"/>
      <c r="B463" s="138"/>
      <c r="C463" s="139"/>
      <c r="D463" s="291"/>
      <c r="E463" s="315"/>
      <c r="F463" s="321"/>
      <c r="G463" s="284"/>
      <c r="H463" s="318"/>
      <c r="I463" s="300"/>
      <c r="J463" s="302"/>
      <c r="K463" s="240"/>
      <c r="L463" s="236"/>
    </row>
    <row r="464" spans="1:15" s="111" customFormat="1" ht="16.5" customHeight="1" thickBot="1" x14ac:dyDescent="0.35">
      <c r="A464" s="358" t="s">
        <v>9</v>
      </c>
      <c r="B464" s="359"/>
      <c r="C464" s="359"/>
      <c r="D464" s="359"/>
      <c r="E464" s="359"/>
      <c r="F464" s="360"/>
      <c r="G464" s="104">
        <f>SUM(G11:G463)</f>
        <v>0</v>
      </c>
      <c r="H464" s="105">
        <f>SUM(H11:H463)</f>
        <v>0</v>
      </c>
      <c r="I464" s="106">
        <f>SUM(I11:I463)</f>
        <v>0</v>
      </c>
      <c r="J464" s="106">
        <f>SUM(J11:J463)</f>
        <v>0</v>
      </c>
      <c r="K464" s="107"/>
      <c r="L464" s="237">
        <f>SUM(L11:L463)</f>
        <v>0</v>
      </c>
      <c r="M464" s="108"/>
      <c r="N464" s="109"/>
      <c r="O464" s="110"/>
    </row>
    <row r="465" spans="1:18" ht="14.25" customHeight="1" thickBot="1" x14ac:dyDescent="0.35">
      <c r="A465" s="46"/>
      <c r="B465" s="47"/>
      <c r="C465" s="119"/>
      <c r="D465" s="47"/>
      <c r="E465" s="47"/>
      <c r="F465" s="47"/>
      <c r="G465" s="47"/>
      <c r="H465" s="47"/>
      <c r="I465" s="47"/>
      <c r="J465" s="47"/>
      <c r="K465" s="350" t="s">
        <v>10</v>
      </c>
      <c r="L465" s="351"/>
    </row>
    <row r="466" spans="1:18" ht="14.25" customHeight="1" x14ac:dyDescent="0.3">
      <c r="A466" s="357" t="s">
        <v>11</v>
      </c>
      <c r="B466" s="357"/>
      <c r="C466" s="357"/>
      <c r="D466" s="357"/>
      <c r="E466" s="357"/>
      <c r="F466" s="357"/>
      <c r="G466" s="357"/>
      <c r="H466" s="357"/>
      <c r="I466" s="357"/>
      <c r="J466" s="47"/>
      <c r="K466" s="47"/>
      <c r="L466" s="47"/>
    </row>
    <row r="467" spans="1:18" ht="14.25" customHeight="1" x14ac:dyDescent="0.3"/>
    <row r="474" spans="1:18" x14ac:dyDescent="0.3">
      <c r="A474" s="1"/>
      <c r="B474" s="1"/>
      <c r="D474" s="1"/>
      <c r="E474" s="1"/>
      <c r="F474" s="1"/>
      <c r="G474" s="1"/>
      <c r="H474" s="1"/>
      <c r="I474" s="1"/>
      <c r="J474" s="1"/>
      <c r="K474" s="1"/>
      <c r="L474" s="1"/>
      <c r="N474" s="49"/>
      <c r="O474" s="49"/>
      <c r="P474" s="49"/>
      <c r="Q474" s="49"/>
    </row>
    <row r="475" spans="1:18" x14ac:dyDescent="0.3">
      <c r="A475" s="1"/>
      <c r="B475" s="1"/>
      <c r="D475" s="1"/>
      <c r="E475" s="1"/>
      <c r="F475" s="1"/>
      <c r="G475" s="1"/>
      <c r="H475" s="1"/>
      <c r="I475" s="1"/>
      <c r="J475" s="1"/>
      <c r="K475" s="1"/>
      <c r="L475" s="1"/>
      <c r="N475" s="49"/>
      <c r="O475" s="49"/>
      <c r="P475" s="49"/>
      <c r="Q475" s="49"/>
    </row>
    <row r="476" spans="1:18" x14ac:dyDescent="0.3">
      <c r="A476" s="1"/>
      <c r="B476" s="1"/>
      <c r="D476" s="1"/>
      <c r="E476" s="1"/>
      <c r="F476" s="1"/>
      <c r="G476" s="1"/>
      <c r="H476" s="1"/>
      <c r="I476" s="1"/>
      <c r="J476" s="1"/>
      <c r="K476" s="1"/>
      <c r="L476" s="1"/>
      <c r="N476" s="49"/>
      <c r="O476" s="49"/>
      <c r="P476" s="49"/>
      <c r="Q476" s="49"/>
      <c r="R476" s="49"/>
    </row>
    <row r="477" spans="1:18" x14ac:dyDescent="0.3">
      <c r="A477" s="1"/>
      <c r="B477" s="1"/>
      <c r="D477" s="1"/>
      <c r="E477" s="1"/>
      <c r="F477" s="1"/>
      <c r="G477" s="1"/>
      <c r="H477" s="1"/>
      <c r="I477" s="1"/>
      <c r="J477" s="1"/>
      <c r="K477" s="1"/>
      <c r="L477" s="1"/>
      <c r="N477" s="49"/>
      <c r="O477" s="49"/>
      <c r="P477" s="49"/>
      <c r="Q477" s="49"/>
      <c r="R477" s="49"/>
    </row>
    <row r="478" spans="1:18" x14ac:dyDescent="0.3">
      <c r="A478" s="1"/>
      <c r="B478" s="1"/>
      <c r="D478" s="1"/>
      <c r="E478" s="1"/>
      <c r="F478" s="1"/>
      <c r="G478" s="1"/>
      <c r="H478" s="1"/>
      <c r="I478" s="1"/>
      <c r="J478" s="1"/>
      <c r="K478" s="1"/>
      <c r="L478" s="1"/>
      <c r="N478" s="49"/>
      <c r="O478" s="49"/>
      <c r="P478" s="49"/>
      <c r="Q478" s="49"/>
      <c r="R478" s="49"/>
    </row>
    <row r="479" spans="1:18" x14ac:dyDescent="0.3">
      <c r="A479" s="1"/>
      <c r="B479" s="1"/>
      <c r="D479" s="1"/>
      <c r="E479" s="1"/>
      <c r="F479" s="1"/>
      <c r="G479" s="1"/>
      <c r="H479" s="1"/>
      <c r="I479" s="1"/>
      <c r="J479" s="1"/>
      <c r="K479" s="1"/>
      <c r="L479" s="1"/>
      <c r="N479" s="49"/>
      <c r="O479" s="49"/>
      <c r="P479" s="49"/>
      <c r="Q479" s="49"/>
      <c r="R479" s="49"/>
    </row>
    <row r="480" spans="1:18" x14ac:dyDescent="0.3">
      <c r="A480" s="1"/>
      <c r="B480" s="1"/>
      <c r="D480" s="1"/>
      <c r="E480" s="1"/>
      <c r="F480" s="1"/>
      <c r="G480" s="1"/>
      <c r="H480" s="1"/>
      <c r="I480" s="1"/>
      <c r="J480" s="1"/>
      <c r="K480" s="1"/>
      <c r="L480" s="1"/>
      <c r="N480" s="49"/>
      <c r="O480" s="49"/>
      <c r="P480" s="49"/>
      <c r="Q480" s="49"/>
      <c r="R480" s="49"/>
    </row>
    <row r="481" spans="1:18" x14ac:dyDescent="0.3">
      <c r="A481" s="1"/>
      <c r="B481" s="1"/>
      <c r="D481" s="1"/>
      <c r="E481" s="1"/>
      <c r="F481" s="1"/>
      <c r="G481" s="1"/>
      <c r="H481" s="1"/>
      <c r="I481" s="1"/>
      <c r="J481" s="1"/>
      <c r="K481" s="1"/>
      <c r="L481" s="1"/>
      <c r="R481" s="49"/>
    </row>
    <row r="482" spans="1:18" x14ac:dyDescent="0.3">
      <c r="A482" s="1"/>
      <c r="B482" s="1"/>
      <c r="D482" s="1"/>
      <c r="E482" s="1"/>
      <c r="F482" s="1"/>
      <c r="G482" s="1"/>
      <c r="H482" s="1"/>
      <c r="I482" s="1"/>
      <c r="J482" s="1"/>
      <c r="K482" s="1"/>
      <c r="L482" s="1"/>
      <c r="R482" s="49"/>
    </row>
  </sheetData>
  <sheetProtection algorithmName="SHA-512" hashValue="GrVG/4Wumvnyawy3h7YkDqmKJ0bViphxmap8N4RNArSxibsLEUbF7GJjsdr02w3ArOfcIQE+3Bv5AOwtvvRivg==" saltValue="xYxrv6qG2Mpwc2N4jaZxHA==" spinCount="100000" sheet="1" formatCells="0" formatColumns="0" formatRows="0"/>
  <mergeCells count="1263">
    <mergeCell ref="D233:D235"/>
    <mergeCell ref="A233:A235"/>
    <mergeCell ref="A242:A244"/>
    <mergeCell ref="D242:D244"/>
    <mergeCell ref="E242:E244"/>
    <mergeCell ref="F242:F244"/>
    <mergeCell ref="G242:G244"/>
    <mergeCell ref="H242:H244"/>
    <mergeCell ref="I242:I244"/>
    <mergeCell ref="J236:J238"/>
    <mergeCell ref="A239:A241"/>
    <mergeCell ref="D239:D241"/>
    <mergeCell ref="E239:E241"/>
    <mergeCell ref="F239:F241"/>
    <mergeCell ref="G239:G241"/>
    <mergeCell ref="H239:H241"/>
    <mergeCell ref="I239:I241"/>
    <mergeCell ref="J239:J241"/>
    <mergeCell ref="E236:E238"/>
    <mergeCell ref="A236:A238"/>
    <mergeCell ref="D236:D238"/>
    <mergeCell ref="F236:F238"/>
    <mergeCell ref="G236:G238"/>
    <mergeCell ref="H236:H238"/>
    <mergeCell ref="I236:I238"/>
    <mergeCell ref="D50:D52"/>
    <mergeCell ref="B53:B55"/>
    <mergeCell ref="C53:C55"/>
    <mergeCell ref="D53:D55"/>
    <mergeCell ref="B56:B58"/>
    <mergeCell ref="B44:B46"/>
    <mergeCell ref="C44:C46"/>
    <mergeCell ref="D44:D46"/>
    <mergeCell ref="D179:D181"/>
    <mergeCell ref="B65:B67"/>
    <mergeCell ref="C65:C67"/>
    <mergeCell ref="D65:D67"/>
    <mergeCell ref="D68:D70"/>
    <mergeCell ref="D71:D73"/>
    <mergeCell ref="D74:D76"/>
    <mergeCell ref="D77:D79"/>
    <mergeCell ref="D80:D82"/>
    <mergeCell ref="D143:D145"/>
    <mergeCell ref="D146:D148"/>
    <mergeCell ref="D149:D151"/>
    <mergeCell ref="D152:D154"/>
    <mergeCell ref="D107:D109"/>
    <mergeCell ref="D110:D112"/>
    <mergeCell ref="D113:D115"/>
    <mergeCell ref="D173:D175"/>
    <mergeCell ref="D176:D178"/>
    <mergeCell ref="D116:D118"/>
    <mergeCell ref="D119:D121"/>
    <mergeCell ref="D89:D91"/>
    <mergeCell ref="D92:D94"/>
    <mergeCell ref="D95:D97"/>
    <mergeCell ref="D98:D100"/>
    <mergeCell ref="D26:D28"/>
    <mergeCell ref="B29:B31"/>
    <mergeCell ref="C29:C31"/>
    <mergeCell ref="D29:D31"/>
    <mergeCell ref="D32:D34"/>
    <mergeCell ref="B35:B37"/>
    <mergeCell ref="C35:C37"/>
    <mergeCell ref="D35:D37"/>
    <mergeCell ref="B38:B40"/>
    <mergeCell ref="C38:C40"/>
    <mergeCell ref="D38:D40"/>
    <mergeCell ref="B32:B34"/>
    <mergeCell ref="C32:C34"/>
    <mergeCell ref="C41:C43"/>
    <mergeCell ref="D41:D43"/>
    <mergeCell ref="B47:B49"/>
    <mergeCell ref="C47:C49"/>
    <mergeCell ref="D47:D49"/>
    <mergeCell ref="D101:D103"/>
    <mergeCell ref="D104:D106"/>
    <mergeCell ref="D56:D58"/>
    <mergeCell ref="B59:B61"/>
    <mergeCell ref="C59:C61"/>
    <mergeCell ref="D59:D61"/>
    <mergeCell ref="B50:B52"/>
    <mergeCell ref="C50:C52"/>
    <mergeCell ref="J11:J13"/>
    <mergeCell ref="A65:A67"/>
    <mergeCell ref="F65:F67"/>
    <mergeCell ref="I65:I67"/>
    <mergeCell ref="E65:E67"/>
    <mergeCell ref="I41:I43"/>
    <mergeCell ref="I44:I46"/>
    <mergeCell ref="I47:I49"/>
    <mergeCell ref="I50:I52"/>
    <mergeCell ref="I53:I55"/>
    <mergeCell ref="I56:I58"/>
    <mergeCell ref="I59:I61"/>
    <mergeCell ref="H32:H34"/>
    <mergeCell ref="H35:H37"/>
    <mergeCell ref="H38:H40"/>
    <mergeCell ref="H41:H43"/>
    <mergeCell ref="H44:H46"/>
    <mergeCell ref="H47:H49"/>
    <mergeCell ref="H50:H52"/>
    <mergeCell ref="C56:C58"/>
    <mergeCell ref="E26:E28"/>
    <mergeCell ref="E29:E31"/>
    <mergeCell ref="F29:F31"/>
    <mergeCell ref="E32:E34"/>
    <mergeCell ref="B62:B64"/>
    <mergeCell ref="C62:C64"/>
    <mergeCell ref="D62:D64"/>
    <mergeCell ref="B23:B25"/>
    <mergeCell ref="C23:C25"/>
    <mergeCell ref="D23:D25"/>
    <mergeCell ref="B26:B28"/>
    <mergeCell ref="C26:C28"/>
    <mergeCell ref="F32:F34"/>
    <mergeCell ref="J227:J229"/>
    <mergeCell ref="J224:J226"/>
    <mergeCell ref="J221:J223"/>
    <mergeCell ref="J218:J220"/>
    <mergeCell ref="J215:J217"/>
    <mergeCell ref="J209:J211"/>
    <mergeCell ref="H227:H229"/>
    <mergeCell ref="I227:I229"/>
    <mergeCell ref="H218:H220"/>
    <mergeCell ref="I218:I220"/>
    <mergeCell ref="H221:H223"/>
    <mergeCell ref="I221:I223"/>
    <mergeCell ref="H224:H226"/>
    <mergeCell ref="I224:I226"/>
    <mergeCell ref="H215:H217"/>
    <mergeCell ref="I215:I217"/>
    <mergeCell ref="I209:I211"/>
    <mergeCell ref="H212:H214"/>
    <mergeCell ref="I212:I214"/>
    <mergeCell ref="J212:J214"/>
    <mergeCell ref="H209:H211"/>
    <mergeCell ref="J173:J175"/>
    <mergeCell ref="J176:J178"/>
    <mergeCell ref="J185:J187"/>
    <mergeCell ref="J188:J190"/>
    <mergeCell ref="I188:I190"/>
    <mergeCell ref="H188:H190"/>
    <mergeCell ref="H176:H178"/>
    <mergeCell ref="H173:H175"/>
    <mergeCell ref="H149:H151"/>
    <mergeCell ref="H170:H172"/>
    <mergeCell ref="J170:J172"/>
    <mergeCell ref="J167:J169"/>
    <mergeCell ref="J164:J166"/>
    <mergeCell ref="I140:I142"/>
    <mergeCell ref="I143:I145"/>
    <mergeCell ref="I173:I175"/>
    <mergeCell ref="I167:I169"/>
    <mergeCell ref="I170:I172"/>
    <mergeCell ref="I161:I163"/>
    <mergeCell ref="I164:I166"/>
    <mergeCell ref="J32:J34"/>
    <mergeCell ref="J80:J82"/>
    <mergeCell ref="J77:J79"/>
    <mergeCell ref="J74:J76"/>
    <mergeCell ref="J71:J73"/>
    <mergeCell ref="J68:J70"/>
    <mergeCell ref="J107:J109"/>
    <mergeCell ref="J104:J106"/>
    <mergeCell ref="J110:J112"/>
    <mergeCell ref="J95:J97"/>
    <mergeCell ref="J92:J94"/>
    <mergeCell ref="J89:J91"/>
    <mergeCell ref="J38:J40"/>
    <mergeCell ref="J35:J37"/>
    <mergeCell ref="I86:I88"/>
    <mergeCell ref="I89:I91"/>
    <mergeCell ref="I92:I94"/>
    <mergeCell ref="I95:I97"/>
    <mergeCell ref="J41:J43"/>
    <mergeCell ref="H53:H55"/>
    <mergeCell ref="J59:J61"/>
    <mergeCell ref="J56:J58"/>
    <mergeCell ref="J53:J55"/>
    <mergeCell ref="I62:I64"/>
    <mergeCell ref="H65:H67"/>
    <mergeCell ref="H56:H58"/>
    <mergeCell ref="H59:H61"/>
    <mergeCell ref="H62:H64"/>
    <mergeCell ref="J65:J67"/>
    <mergeCell ref="J62:J64"/>
    <mergeCell ref="J113:J115"/>
    <mergeCell ref="J119:J121"/>
    <mergeCell ref="J116:J118"/>
    <mergeCell ref="I158:I160"/>
    <mergeCell ref="I125:I127"/>
    <mergeCell ref="I128:I130"/>
    <mergeCell ref="I131:I133"/>
    <mergeCell ref="I134:I136"/>
    <mergeCell ref="I137:I139"/>
    <mergeCell ref="I146:I148"/>
    <mergeCell ref="I152:I154"/>
    <mergeCell ref="I149:I151"/>
    <mergeCell ref="I77:I79"/>
    <mergeCell ref="I83:I85"/>
    <mergeCell ref="J149:J151"/>
    <mergeCell ref="J146:J148"/>
    <mergeCell ref="J143:J145"/>
    <mergeCell ref="J140:J142"/>
    <mergeCell ref="J14:J16"/>
    <mergeCell ref="H203:H205"/>
    <mergeCell ref="I203:I205"/>
    <mergeCell ref="J29:J31"/>
    <mergeCell ref="J26:J28"/>
    <mergeCell ref="F53:F55"/>
    <mergeCell ref="E53:E55"/>
    <mergeCell ref="F56:F58"/>
    <mergeCell ref="F26:F28"/>
    <mergeCell ref="E86:E88"/>
    <mergeCell ref="E89:E91"/>
    <mergeCell ref="F89:F91"/>
    <mergeCell ref="F92:F94"/>
    <mergeCell ref="E92:E94"/>
    <mergeCell ref="F35:F37"/>
    <mergeCell ref="E35:E37"/>
    <mergeCell ref="E38:E40"/>
    <mergeCell ref="I155:I157"/>
    <mergeCell ref="I107:I109"/>
    <mergeCell ref="J131:J133"/>
    <mergeCell ref="J50:J52"/>
    <mergeCell ref="J47:J49"/>
    <mergeCell ref="J44:J46"/>
    <mergeCell ref="J134:J136"/>
    <mergeCell ref="J137:J139"/>
    <mergeCell ref="J125:J127"/>
    <mergeCell ref="J122:J124"/>
    <mergeCell ref="I80:I82"/>
    <mergeCell ref="I68:I70"/>
    <mergeCell ref="I71:I73"/>
    <mergeCell ref="H137:H139"/>
    <mergeCell ref="I74:I76"/>
    <mergeCell ref="G44:G46"/>
    <mergeCell ref="G47:G49"/>
    <mergeCell ref="G50:G52"/>
    <mergeCell ref="G53:G55"/>
    <mergeCell ref="G56:G58"/>
    <mergeCell ref="G59:G61"/>
    <mergeCell ref="G68:G70"/>
    <mergeCell ref="G65:G67"/>
    <mergeCell ref="I98:I100"/>
    <mergeCell ref="H110:H112"/>
    <mergeCell ref="I101:I103"/>
    <mergeCell ref="I104:I106"/>
    <mergeCell ref="H134:H136"/>
    <mergeCell ref="H104:H106"/>
    <mergeCell ref="H107:H109"/>
    <mergeCell ref="J101:J103"/>
    <mergeCell ref="J98:J100"/>
    <mergeCell ref="I110:I112"/>
    <mergeCell ref="I113:I115"/>
    <mergeCell ref="I116:I118"/>
    <mergeCell ref="I119:I121"/>
    <mergeCell ref="I122:I124"/>
    <mergeCell ref="H113:H115"/>
    <mergeCell ref="H116:H118"/>
    <mergeCell ref="H119:H121"/>
    <mergeCell ref="H122:H124"/>
    <mergeCell ref="H125:H127"/>
    <mergeCell ref="H128:H130"/>
    <mergeCell ref="H131:H133"/>
    <mergeCell ref="H95:H97"/>
    <mergeCell ref="H98:H100"/>
    <mergeCell ref="H101:H103"/>
    <mergeCell ref="I14:I16"/>
    <mergeCell ref="I17:I19"/>
    <mergeCell ref="I20:I22"/>
    <mergeCell ref="I23:I25"/>
    <mergeCell ref="I26:I28"/>
    <mergeCell ref="I29:I31"/>
    <mergeCell ref="I32:I34"/>
    <mergeCell ref="I35:I37"/>
    <mergeCell ref="I38:I40"/>
    <mergeCell ref="G14:G16"/>
    <mergeCell ref="G20:G22"/>
    <mergeCell ref="H11:H13"/>
    <mergeCell ref="H14:H16"/>
    <mergeCell ref="H17:H19"/>
    <mergeCell ref="H20:H22"/>
    <mergeCell ref="H23:H25"/>
    <mergeCell ref="H26:H28"/>
    <mergeCell ref="H29:H31"/>
    <mergeCell ref="G71:G73"/>
    <mergeCell ref="G74:G76"/>
    <mergeCell ref="H83:H85"/>
    <mergeCell ref="H71:H73"/>
    <mergeCell ref="H74:H76"/>
    <mergeCell ref="H77:H79"/>
    <mergeCell ref="H80:H82"/>
    <mergeCell ref="G203:G205"/>
    <mergeCell ref="G185:G187"/>
    <mergeCell ref="G143:G145"/>
    <mergeCell ref="G83:G85"/>
    <mergeCell ref="H86:H88"/>
    <mergeCell ref="H89:H91"/>
    <mergeCell ref="H92:H94"/>
    <mergeCell ref="H167:H169"/>
    <mergeCell ref="H161:H163"/>
    <mergeCell ref="H164:H166"/>
    <mergeCell ref="H140:H142"/>
    <mergeCell ref="H143:H145"/>
    <mergeCell ref="H146:H148"/>
    <mergeCell ref="A206:A208"/>
    <mergeCell ref="G206:G208"/>
    <mergeCell ref="A209:A211"/>
    <mergeCell ref="G209:G211"/>
    <mergeCell ref="E203:E205"/>
    <mergeCell ref="E206:E208"/>
    <mergeCell ref="E209:E211"/>
    <mergeCell ref="F203:F205"/>
    <mergeCell ref="F206:F208"/>
    <mergeCell ref="F209:F211"/>
    <mergeCell ref="G221:G223"/>
    <mergeCell ref="A224:A226"/>
    <mergeCell ref="G224:G226"/>
    <mergeCell ref="D221:D223"/>
    <mergeCell ref="D224:D226"/>
    <mergeCell ref="D227:D229"/>
    <mergeCell ref="G212:G214"/>
    <mergeCell ref="A215:A217"/>
    <mergeCell ref="G215:G217"/>
    <mergeCell ref="A218:A220"/>
    <mergeCell ref="G218:G220"/>
    <mergeCell ref="E212:E214"/>
    <mergeCell ref="E215:E217"/>
    <mergeCell ref="E218:E220"/>
    <mergeCell ref="F215:F217"/>
    <mergeCell ref="F218:F220"/>
    <mergeCell ref="F212:F214"/>
    <mergeCell ref="D218:D220"/>
    <mergeCell ref="D203:D205"/>
    <mergeCell ref="D206:D208"/>
    <mergeCell ref="D209:D211"/>
    <mergeCell ref="D212:D214"/>
    <mergeCell ref="F185:F187"/>
    <mergeCell ref="F188:F190"/>
    <mergeCell ref="E185:E187"/>
    <mergeCell ref="E188:E190"/>
    <mergeCell ref="G188:G190"/>
    <mergeCell ref="G179:G181"/>
    <mergeCell ref="G191:G193"/>
    <mergeCell ref="G182:G184"/>
    <mergeCell ref="G194:G196"/>
    <mergeCell ref="A197:A199"/>
    <mergeCell ref="G197:G199"/>
    <mergeCell ref="A200:A202"/>
    <mergeCell ref="G200:G202"/>
    <mergeCell ref="E194:E196"/>
    <mergeCell ref="E197:E199"/>
    <mergeCell ref="E200:E202"/>
    <mergeCell ref="F194:F196"/>
    <mergeCell ref="F197:F199"/>
    <mergeCell ref="F200:F202"/>
    <mergeCell ref="D182:D184"/>
    <mergeCell ref="D191:D193"/>
    <mergeCell ref="D194:D196"/>
    <mergeCell ref="D197:D199"/>
    <mergeCell ref="D200:D202"/>
    <mergeCell ref="F71:F73"/>
    <mergeCell ref="E71:E73"/>
    <mergeCell ref="A191:A193"/>
    <mergeCell ref="A185:A187"/>
    <mergeCell ref="A188:A190"/>
    <mergeCell ref="F152:F154"/>
    <mergeCell ref="F155:F157"/>
    <mergeCell ref="A179:A181"/>
    <mergeCell ref="A182:A184"/>
    <mergeCell ref="E179:E181"/>
    <mergeCell ref="A176:A178"/>
    <mergeCell ref="F176:F178"/>
    <mergeCell ref="E161:E163"/>
    <mergeCell ref="E164:E166"/>
    <mergeCell ref="E167:E169"/>
    <mergeCell ref="E170:E172"/>
    <mergeCell ref="E191:E193"/>
    <mergeCell ref="F179:F181"/>
    <mergeCell ref="F182:F184"/>
    <mergeCell ref="F191:F193"/>
    <mergeCell ref="D185:D187"/>
    <mergeCell ref="D188:D190"/>
    <mergeCell ref="E152:E154"/>
    <mergeCell ref="E155:E157"/>
    <mergeCell ref="E182:E184"/>
    <mergeCell ref="D83:D85"/>
    <mergeCell ref="D122:D124"/>
    <mergeCell ref="D125:D127"/>
    <mergeCell ref="D131:D133"/>
    <mergeCell ref="D134:D136"/>
    <mergeCell ref="D137:D139"/>
    <mergeCell ref="D140:D142"/>
    <mergeCell ref="E80:E82"/>
    <mergeCell ref="F80:F82"/>
    <mergeCell ref="F131:F133"/>
    <mergeCell ref="G140:G142"/>
    <mergeCell ref="F137:F139"/>
    <mergeCell ref="F140:F142"/>
    <mergeCell ref="G77:G79"/>
    <mergeCell ref="G80:G82"/>
    <mergeCell ref="F83:F85"/>
    <mergeCell ref="F86:F88"/>
    <mergeCell ref="E95:E97"/>
    <mergeCell ref="F95:F97"/>
    <mergeCell ref="F98:F100"/>
    <mergeCell ref="E98:E100"/>
    <mergeCell ref="E110:E112"/>
    <mergeCell ref="F134:F136"/>
    <mergeCell ref="E131:E133"/>
    <mergeCell ref="E134:E136"/>
    <mergeCell ref="G86:G88"/>
    <mergeCell ref="G104:G106"/>
    <mergeCell ref="G122:G124"/>
    <mergeCell ref="G125:G127"/>
    <mergeCell ref="G128:G130"/>
    <mergeCell ref="G131:G133"/>
    <mergeCell ref="G110:G112"/>
    <mergeCell ref="G119:G121"/>
    <mergeCell ref="G107:G109"/>
    <mergeCell ref="G89:G91"/>
    <mergeCell ref="G92:G94"/>
    <mergeCell ref="G95:G97"/>
    <mergeCell ref="G98:G100"/>
    <mergeCell ref="G101:G103"/>
    <mergeCell ref="F149:F151"/>
    <mergeCell ref="F158:F160"/>
    <mergeCell ref="F167:F169"/>
    <mergeCell ref="F170:F172"/>
    <mergeCell ref="E149:E151"/>
    <mergeCell ref="F161:F163"/>
    <mergeCell ref="F164:F166"/>
    <mergeCell ref="G146:G148"/>
    <mergeCell ref="G152:G154"/>
    <mergeCell ref="E146:E148"/>
    <mergeCell ref="F146:F148"/>
    <mergeCell ref="F143:F145"/>
    <mergeCell ref="G149:G151"/>
    <mergeCell ref="E158:E160"/>
    <mergeCell ref="D155:D157"/>
    <mergeCell ref="D158:D160"/>
    <mergeCell ref="D161:D163"/>
    <mergeCell ref="D164:D166"/>
    <mergeCell ref="D167:D169"/>
    <mergeCell ref="D170:D172"/>
    <mergeCell ref="F50:F52"/>
    <mergeCell ref="F59:F61"/>
    <mergeCell ref="F62:F64"/>
    <mergeCell ref="E68:E70"/>
    <mergeCell ref="A113:A115"/>
    <mergeCell ref="F128:F130"/>
    <mergeCell ref="F101:F103"/>
    <mergeCell ref="F104:F106"/>
    <mergeCell ref="F107:F109"/>
    <mergeCell ref="F110:F112"/>
    <mergeCell ref="F113:F115"/>
    <mergeCell ref="F116:F118"/>
    <mergeCell ref="F119:F121"/>
    <mergeCell ref="F122:F124"/>
    <mergeCell ref="F125:F127"/>
    <mergeCell ref="D128:D130"/>
    <mergeCell ref="E119:E121"/>
    <mergeCell ref="E122:E124"/>
    <mergeCell ref="A77:A79"/>
    <mergeCell ref="A80:A82"/>
    <mergeCell ref="A83:A85"/>
    <mergeCell ref="E50:E52"/>
    <mergeCell ref="A86:A88"/>
    <mergeCell ref="E104:E106"/>
    <mergeCell ref="E101:E103"/>
    <mergeCell ref="E107:E109"/>
    <mergeCell ref="E83:E85"/>
    <mergeCell ref="D86:D88"/>
    <mergeCell ref="E74:E76"/>
    <mergeCell ref="F74:F76"/>
    <mergeCell ref="F77:F79"/>
    <mergeCell ref="E77:E79"/>
    <mergeCell ref="A466:I466"/>
    <mergeCell ref="A464:F464"/>
    <mergeCell ref="A119:A121"/>
    <mergeCell ref="A122:A124"/>
    <mergeCell ref="A125:A127"/>
    <mergeCell ref="A128:A130"/>
    <mergeCell ref="A131:A133"/>
    <mergeCell ref="A134:A136"/>
    <mergeCell ref="A137:A139"/>
    <mergeCell ref="A140:A142"/>
    <mergeCell ref="A143:A145"/>
    <mergeCell ref="A146:A148"/>
    <mergeCell ref="A167:A169"/>
    <mergeCell ref="A164:A166"/>
    <mergeCell ref="G134:G136"/>
    <mergeCell ref="G137:G139"/>
    <mergeCell ref="G176:G178"/>
    <mergeCell ref="E176:E178"/>
    <mergeCell ref="E137:E139"/>
    <mergeCell ref="E140:E142"/>
    <mergeCell ref="E143:E145"/>
    <mergeCell ref="F173:F175"/>
    <mergeCell ref="E173:E175"/>
    <mergeCell ref="E125:E127"/>
    <mergeCell ref="E128:E130"/>
    <mergeCell ref="A461:A463"/>
    <mergeCell ref="A230:A232"/>
    <mergeCell ref="A227:A229"/>
    <mergeCell ref="A212:A214"/>
    <mergeCell ref="A221:A223"/>
    <mergeCell ref="D230:D232"/>
    <mergeCell ref="D461:D463"/>
    <mergeCell ref="G9:G10"/>
    <mergeCell ref="H152:H154"/>
    <mergeCell ref="H155:H157"/>
    <mergeCell ref="H158:H160"/>
    <mergeCell ref="I11:I13"/>
    <mergeCell ref="J23:J25"/>
    <mergeCell ref="J20:J22"/>
    <mergeCell ref="J17:J19"/>
    <mergeCell ref="A14:A16"/>
    <mergeCell ref="F11:F13"/>
    <mergeCell ref="E11:E13"/>
    <mergeCell ref="A11:A13"/>
    <mergeCell ref="A17:A19"/>
    <mergeCell ref="A20:A22"/>
    <mergeCell ref="F14:F16"/>
    <mergeCell ref="E14:E16"/>
    <mergeCell ref="E17:E19"/>
    <mergeCell ref="F17:F19"/>
    <mergeCell ref="E20:E22"/>
    <mergeCell ref="F20:F22"/>
    <mergeCell ref="B11:B13"/>
    <mergeCell ref="C11:C13"/>
    <mergeCell ref="D11:D13"/>
    <mergeCell ref="B14:B16"/>
    <mergeCell ref="C14:C16"/>
    <mergeCell ref="D14:D16"/>
    <mergeCell ref="B17:B19"/>
    <mergeCell ref="C17:C19"/>
    <mergeCell ref="F38:F40"/>
    <mergeCell ref="F41:F43"/>
    <mergeCell ref="E41:E43"/>
    <mergeCell ref="E44:E46"/>
    <mergeCell ref="A1:L1"/>
    <mergeCell ref="A2:L2"/>
    <mergeCell ref="H9:H10"/>
    <mergeCell ref="A8:L8"/>
    <mergeCell ref="A9:A10"/>
    <mergeCell ref="A7:L7"/>
    <mergeCell ref="B9:D10"/>
    <mergeCell ref="F6:G6"/>
    <mergeCell ref="F3:I3"/>
    <mergeCell ref="E9:E10"/>
    <mergeCell ref="F9:F10"/>
    <mergeCell ref="F4:I4"/>
    <mergeCell ref="F5:H5"/>
    <mergeCell ref="K465:L465"/>
    <mergeCell ref="I9:I10"/>
    <mergeCell ref="K9:L9"/>
    <mergeCell ref="G11:G13"/>
    <mergeCell ref="G17:G19"/>
    <mergeCell ref="G23:G25"/>
    <mergeCell ref="G26:G28"/>
    <mergeCell ref="G29:G31"/>
    <mergeCell ref="G32:G34"/>
    <mergeCell ref="G35:G37"/>
    <mergeCell ref="G167:G169"/>
    <mergeCell ref="G155:G157"/>
    <mergeCell ref="G158:G160"/>
    <mergeCell ref="G161:G163"/>
    <mergeCell ref="G164:G166"/>
    <mergeCell ref="G170:G172"/>
    <mergeCell ref="H68:H70"/>
    <mergeCell ref="G113:G115"/>
    <mergeCell ref="G116:G118"/>
    <mergeCell ref="I191:I193"/>
    <mergeCell ref="D17:D19"/>
    <mergeCell ref="B20:B22"/>
    <mergeCell ref="C20:C22"/>
    <mergeCell ref="D20:D22"/>
    <mergeCell ref="E23:E25"/>
    <mergeCell ref="F23:F25"/>
    <mergeCell ref="A23:A25"/>
    <mergeCell ref="E113:E115"/>
    <mergeCell ref="E116:E118"/>
    <mergeCell ref="A101:A103"/>
    <mergeCell ref="A68:A70"/>
    <mergeCell ref="A26:A28"/>
    <mergeCell ref="A29:A31"/>
    <mergeCell ref="A32:A34"/>
    <mergeCell ref="A35:A37"/>
    <mergeCell ref="A38:A40"/>
    <mergeCell ref="A104:A106"/>
    <mergeCell ref="A107:A109"/>
    <mergeCell ref="E62:E64"/>
    <mergeCell ref="A110:A112"/>
    <mergeCell ref="F44:F46"/>
    <mergeCell ref="F47:F49"/>
    <mergeCell ref="E47:E49"/>
    <mergeCell ref="B41:B43"/>
    <mergeCell ref="G173:G175"/>
    <mergeCell ref="G38:G40"/>
    <mergeCell ref="G41:G43"/>
    <mergeCell ref="E59:E61"/>
    <mergeCell ref="E56:E58"/>
    <mergeCell ref="F68:F70"/>
    <mergeCell ref="G62:G64"/>
    <mergeCell ref="A41:A43"/>
    <mergeCell ref="A44:A46"/>
    <mergeCell ref="A47:A49"/>
    <mergeCell ref="A50:A52"/>
    <mergeCell ref="A53:A55"/>
    <mergeCell ref="A170:A172"/>
    <mergeCell ref="A149:A151"/>
    <mergeCell ref="A194:A196"/>
    <mergeCell ref="A203:A205"/>
    <mergeCell ref="A158:A160"/>
    <mergeCell ref="A161:A163"/>
    <mergeCell ref="A116:A118"/>
    <mergeCell ref="A89:A91"/>
    <mergeCell ref="A62:A64"/>
    <mergeCell ref="A56:A58"/>
    <mergeCell ref="A59:A61"/>
    <mergeCell ref="A92:A94"/>
    <mergeCell ref="A95:A97"/>
    <mergeCell ref="A98:A100"/>
    <mergeCell ref="A74:A76"/>
    <mergeCell ref="A152:A154"/>
    <mergeCell ref="A155:A157"/>
    <mergeCell ref="A173:A175"/>
    <mergeCell ref="A71:A73"/>
    <mergeCell ref="J461:J463"/>
    <mergeCell ref="J230:J232"/>
    <mergeCell ref="I230:I232"/>
    <mergeCell ref="H230:H232"/>
    <mergeCell ref="G230:G232"/>
    <mergeCell ref="F230:F232"/>
    <mergeCell ref="E230:E232"/>
    <mergeCell ref="E461:E463"/>
    <mergeCell ref="F461:F463"/>
    <mergeCell ref="G461:G463"/>
    <mergeCell ref="H461:H463"/>
    <mergeCell ref="I461:I463"/>
    <mergeCell ref="G227:G229"/>
    <mergeCell ref="E221:E223"/>
    <mergeCell ref="E224:E226"/>
    <mergeCell ref="E227:E229"/>
    <mergeCell ref="F221:F223"/>
    <mergeCell ref="F224:F226"/>
    <mergeCell ref="F227:F229"/>
    <mergeCell ref="E395:E397"/>
    <mergeCell ref="H233:H235"/>
    <mergeCell ref="I233:I235"/>
    <mergeCell ref="H260:H262"/>
    <mergeCell ref="I260:I262"/>
    <mergeCell ref="J260:J262"/>
    <mergeCell ref="J242:J244"/>
    <mergeCell ref="D257:D259"/>
    <mergeCell ref="E257:E259"/>
    <mergeCell ref="F257:F259"/>
    <mergeCell ref="G257:G259"/>
    <mergeCell ref="J233:J235"/>
    <mergeCell ref="E233:E235"/>
    <mergeCell ref="F233:F235"/>
    <mergeCell ref="G233:G235"/>
    <mergeCell ref="J128:J130"/>
    <mergeCell ref="J86:J88"/>
    <mergeCell ref="J83:J85"/>
    <mergeCell ref="H191:H193"/>
    <mergeCell ref="H194:H196"/>
    <mergeCell ref="H197:H199"/>
    <mergeCell ref="H200:H202"/>
    <mergeCell ref="I194:I196"/>
    <mergeCell ref="H206:H208"/>
    <mergeCell ref="I206:I208"/>
    <mergeCell ref="J161:J163"/>
    <mergeCell ref="J158:J160"/>
    <mergeCell ref="J155:J157"/>
    <mergeCell ref="J152:J154"/>
    <mergeCell ref="H185:H187"/>
    <mergeCell ref="I185:I187"/>
    <mergeCell ref="H179:H181"/>
    <mergeCell ref="H182:H184"/>
    <mergeCell ref="I176:I178"/>
    <mergeCell ref="I179:I181"/>
    <mergeCell ref="I182:I184"/>
    <mergeCell ref="J206:J208"/>
    <mergeCell ref="J203:J205"/>
    <mergeCell ref="J179:J181"/>
    <mergeCell ref="J200:J202"/>
    <mergeCell ref="J197:J199"/>
    <mergeCell ref="J194:J196"/>
    <mergeCell ref="J191:J193"/>
    <mergeCell ref="J182:J184"/>
    <mergeCell ref="I251:I253"/>
    <mergeCell ref="J251:J253"/>
    <mergeCell ref="A251:A253"/>
    <mergeCell ref="D251:D253"/>
    <mergeCell ref="E251:E253"/>
    <mergeCell ref="F251:F253"/>
    <mergeCell ref="G251:G253"/>
    <mergeCell ref="H251:H253"/>
    <mergeCell ref="A245:A247"/>
    <mergeCell ref="D245:D247"/>
    <mergeCell ref="E245:E247"/>
    <mergeCell ref="F245:F247"/>
    <mergeCell ref="G245:G247"/>
    <mergeCell ref="H245:H247"/>
    <mergeCell ref="I245:I247"/>
    <mergeCell ref="J245:J247"/>
    <mergeCell ref="A248:A250"/>
    <mergeCell ref="D248:D250"/>
    <mergeCell ref="E248:E250"/>
    <mergeCell ref="F248:F250"/>
    <mergeCell ref="G248:G250"/>
    <mergeCell ref="H248:H250"/>
    <mergeCell ref="I248:I250"/>
    <mergeCell ref="J248:J250"/>
    <mergeCell ref="D215:D217"/>
    <mergeCell ref="I197:I199"/>
    <mergeCell ref="I200:I202"/>
    <mergeCell ref="A263:A265"/>
    <mergeCell ref="E263:E265"/>
    <mergeCell ref="D263:D265"/>
    <mergeCell ref="F263:F265"/>
    <mergeCell ref="G263:G265"/>
    <mergeCell ref="H263:H265"/>
    <mergeCell ref="I263:I265"/>
    <mergeCell ref="J263:J265"/>
    <mergeCell ref="A266:A268"/>
    <mergeCell ref="D266:D268"/>
    <mergeCell ref="E266:E268"/>
    <mergeCell ref="F266:F268"/>
    <mergeCell ref="G266:G268"/>
    <mergeCell ref="H266:H268"/>
    <mergeCell ref="I266:I268"/>
    <mergeCell ref="J266:J268"/>
    <mergeCell ref="A254:A256"/>
    <mergeCell ref="D254:D256"/>
    <mergeCell ref="E254:E256"/>
    <mergeCell ref="F254:F256"/>
    <mergeCell ref="G254:G256"/>
    <mergeCell ref="H254:H256"/>
    <mergeCell ref="I254:I256"/>
    <mergeCell ref="J254:J256"/>
    <mergeCell ref="H257:H259"/>
    <mergeCell ref="I257:I259"/>
    <mergeCell ref="J257:J259"/>
    <mergeCell ref="A260:A262"/>
    <mergeCell ref="D260:D262"/>
    <mergeCell ref="E260:E262"/>
    <mergeCell ref="F260:F262"/>
    <mergeCell ref="G260:G262"/>
    <mergeCell ref="A275:A277"/>
    <mergeCell ref="D275:D277"/>
    <mergeCell ref="E275:E277"/>
    <mergeCell ref="F275:F277"/>
    <mergeCell ref="G275:G277"/>
    <mergeCell ref="H275:H277"/>
    <mergeCell ref="I275:I277"/>
    <mergeCell ref="J275:J277"/>
    <mergeCell ref="A278:A280"/>
    <mergeCell ref="D278:D280"/>
    <mergeCell ref="E278:E280"/>
    <mergeCell ref="F278:F280"/>
    <mergeCell ref="G278:G280"/>
    <mergeCell ref="H278:H280"/>
    <mergeCell ref="I278:I280"/>
    <mergeCell ref="J278:J280"/>
    <mergeCell ref="A269:A271"/>
    <mergeCell ref="D269:D271"/>
    <mergeCell ref="E269:E271"/>
    <mergeCell ref="F269:F271"/>
    <mergeCell ref="G269:G271"/>
    <mergeCell ref="H269:H271"/>
    <mergeCell ref="I269:I271"/>
    <mergeCell ref="J269:J271"/>
    <mergeCell ref="A272:A274"/>
    <mergeCell ref="D272:D274"/>
    <mergeCell ref="E272:E274"/>
    <mergeCell ref="F272:F274"/>
    <mergeCell ref="G272:G274"/>
    <mergeCell ref="H272:H274"/>
    <mergeCell ref="I272:I274"/>
    <mergeCell ref="J272:J274"/>
    <mergeCell ref="A287:A289"/>
    <mergeCell ref="D287:D289"/>
    <mergeCell ref="E287:E289"/>
    <mergeCell ref="F287:F289"/>
    <mergeCell ref="G287:G289"/>
    <mergeCell ref="H287:H289"/>
    <mergeCell ref="I287:I289"/>
    <mergeCell ref="J287:J289"/>
    <mergeCell ref="D290:D292"/>
    <mergeCell ref="E290:E292"/>
    <mergeCell ref="F290:F292"/>
    <mergeCell ref="G290:G292"/>
    <mergeCell ref="H290:H292"/>
    <mergeCell ref="I290:I292"/>
    <mergeCell ref="J290:J292"/>
    <mergeCell ref="A281:A283"/>
    <mergeCell ref="D281:D283"/>
    <mergeCell ref="E281:E283"/>
    <mergeCell ref="F281:F283"/>
    <mergeCell ref="G281:G283"/>
    <mergeCell ref="H281:H283"/>
    <mergeCell ref="I281:I283"/>
    <mergeCell ref="J281:J283"/>
    <mergeCell ref="A284:A286"/>
    <mergeCell ref="D284:D286"/>
    <mergeCell ref="E284:E286"/>
    <mergeCell ref="F284:F286"/>
    <mergeCell ref="G284:G286"/>
    <mergeCell ref="H284:H286"/>
    <mergeCell ref="I284:I286"/>
    <mergeCell ref="J284:J286"/>
    <mergeCell ref="A299:A301"/>
    <mergeCell ref="D299:D301"/>
    <mergeCell ref="E299:E301"/>
    <mergeCell ref="F299:F301"/>
    <mergeCell ref="G299:G301"/>
    <mergeCell ref="H299:H301"/>
    <mergeCell ref="I299:I301"/>
    <mergeCell ref="J299:J301"/>
    <mergeCell ref="A302:A304"/>
    <mergeCell ref="D302:D304"/>
    <mergeCell ref="E302:E304"/>
    <mergeCell ref="F302:F304"/>
    <mergeCell ref="G302:G304"/>
    <mergeCell ref="H302:H304"/>
    <mergeCell ref="I302:I304"/>
    <mergeCell ref="J302:J304"/>
    <mergeCell ref="A293:A295"/>
    <mergeCell ref="D293:D295"/>
    <mergeCell ref="E293:E295"/>
    <mergeCell ref="F293:F295"/>
    <mergeCell ref="G293:G295"/>
    <mergeCell ref="H293:H295"/>
    <mergeCell ref="I293:I295"/>
    <mergeCell ref="J293:J295"/>
    <mergeCell ref="A296:A298"/>
    <mergeCell ref="D296:D298"/>
    <mergeCell ref="E296:E298"/>
    <mergeCell ref="F296:F298"/>
    <mergeCell ref="G296:G298"/>
    <mergeCell ref="H296:H298"/>
    <mergeCell ref="I296:I298"/>
    <mergeCell ref="J296:J298"/>
    <mergeCell ref="A311:A313"/>
    <mergeCell ref="D311:D313"/>
    <mergeCell ref="E311:E313"/>
    <mergeCell ref="F311:F313"/>
    <mergeCell ref="G311:G313"/>
    <mergeCell ref="H311:H313"/>
    <mergeCell ref="I311:I313"/>
    <mergeCell ref="J311:J313"/>
    <mergeCell ref="A314:A316"/>
    <mergeCell ref="D314:D316"/>
    <mergeCell ref="E314:E316"/>
    <mergeCell ref="F314:F316"/>
    <mergeCell ref="G314:G316"/>
    <mergeCell ref="H314:H316"/>
    <mergeCell ref="I314:I316"/>
    <mergeCell ref="J314:J316"/>
    <mergeCell ref="A305:A307"/>
    <mergeCell ref="D305:D307"/>
    <mergeCell ref="E305:E307"/>
    <mergeCell ref="F305:F307"/>
    <mergeCell ref="G305:G307"/>
    <mergeCell ref="H305:H307"/>
    <mergeCell ref="I305:I307"/>
    <mergeCell ref="J305:J307"/>
    <mergeCell ref="A308:A310"/>
    <mergeCell ref="D308:D310"/>
    <mergeCell ref="E308:E310"/>
    <mergeCell ref="F308:F310"/>
    <mergeCell ref="G308:G310"/>
    <mergeCell ref="H308:H310"/>
    <mergeCell ref="I308:I310"/>
    <mergeCell ref="J308:J310"/>
    <mergeCell ref="A323:A325"/>
    <mergeCell ref="D323:D325"/>
    <mergeCell ref="E323:E325"/>
    <mergeCell ref="F323:F325"/>
    <mergeCell ref="G323:G325"/>
    <mergeCell ref="H323:H325"/>
    <mergeCell ref="I323:I325"/>
    <mergeCell ref="J323:J325"/>
    <mergeCell ref="A326:A328"/>
    <mergeCell ref="D326:D328"/>
    <mergeCell ref="E326:E328"/>
    <mergeCell ref="F326:F328"/>
    <mergeCell ref="G326:G328"/>
    <mergeCell ref="H326:H328"/>
    <mergeCell ref="I326:I328"/>
    <mergeCell ref="J326:J328"/>
    <mergeCell ref="A317:A319"/>
    <mergeCell ref="D317:D319"/>
    <mergeCell ref="E317:E319"/>
    <mergeCell ref="F317:F319"/>
    <mergeCell ref="G317:G319"/>
    <mergeCell ref="H317:H319"/>
    <mergeCell ref="I317:I319"/>
    <mergeCell ref="J317:J319"/>
    <mergeCell ref="A320:A322"/>
    <mergeCell ref="D320:D322"/>
    <mergeCell ref="E320:E322"/>
    <mergeCell ref="F320:F322"/>
    <mergeCell ref="G320:G322"/>
    <mergeCell ref="H320:H322"/>
    <mergeCell ref="I320:I322"/>
    <mergeCell ref="J320:J322"/>
    <mergeCell ref="A335:A337"/>
    <mergeCell ref="D335:D337"/>
    <mergeCell ref="E335:E337"/>
    <mergeCell ref="F335:F337"/>
    <mergeCell ref="G335:G337"/>
    <mergeCell ref="H335:H337"/>
    <mergeCell ref="I335:I337"/>
    <mergeCell ref="J335:J337"/>
    <mergeCell ref="A338:A340"/>
    <mergeCell ref="D338:D340"/>
    <mergeCell ref="E338:E340"/>
    <mergeCell ref="F338:F340"/>
    <mergeCell ref="G338:G340"/>
    <mergeCell ref="H338:H340"/>
    <mergeCell ref="I338:I340"/>
    <mergeCell ref="J338:J340"/>
    <mergeCell ref="A329:A331"/>
    <mergeCell ref="D329:D331"/>
    <mergeCell ref="E329:E331"/>
    <mergeCell ref="F329:F331"/>
    <mergeCell ref="G329:G331"/>
    <mergeCell ref="H329:H331"/>
    <mergeCell ref="I329:I331"/>
    <mergeCell ref="J329:J331"/>
    <mergeCell ref="A332:A334"/>
    <mergeCell ref="D332:D334"/>
    <mergeCell ref="E332:E334"/>
    <mergeCell ref="F332:F334"/>
    <mergeCell ref="G332:G334"/>
    <mergeCell ref="H332:H334"/>
    <mergeCell ref="I332:I334"/>
    <mergeCell ref="J332:J334"/>
    <mergeCell ref="A350:A352"/>
    <mergeCell ref="D350:D352"/>
    <mergeCell ref="E350:E352"/>
    <mergeCell ref="F350:F352"/>
    <mergeCell ref="G350:G352"/>
    <mergeCell ref="H350:H352"/>
    <mergeCell ref="I350:I352"/>
    <mergeCell ref="J350:J352"/>
    <mergeCell ref="A347:A349"/>
    <mergeCell ref="D347:D349"/>
    <mergeCell ref="E347:E349"/>
    <mergeCell ref="F347:F349"/>
    <mergeCell ref="G347:G349"/>
    <mergeCell ref="H347:H349"/>
    <mergeCell ref="I347:I349"/>
    <mergeCell ref="J347:J349"/>
    <mergeCell ref="A341:A343"/>
    <mergeCell ref="D341:D343"/>
    <mergeCell ref="E341:E343"/>
    <mergeCell ref="F341:F343"/>
    <mergeCell ref="G341:G343"/>
    <mergeCell ref="H341:H343"/>
    <mergeCell ref="I341:I343"/>
    <mergeCell ref="J341:J343"/>
    <mergeCell ref="A344:A346"/>
    <mergeCell ref="D344:D346"/>
    <mergeCell ref="E344:E346"/>
    <mergeCell ref="F344:F346"/>
    <mergeCell ref="G344:G346"/>
    <mergeCell ref="H344:H346"/>
    <mergeCell ref="I344:I346"/>
    <mergeCell ref="J344:J346"/>
    <mergeCell ref="A359:A361"/>
    <mergeCell ref="D359:D361"/>
    <mergeCell ref="E359:E361"/>
    <mergeCell ref="F359:F361"/>
    <mergeCell ref="G359:G361"/>
    <mergeCell ref="H359:H361"/>
    <mergeCell ref="I359:I361"/>
    <mergeCell ref="J359:J361"/>
    <mergeCell ref="A353:A355"/>
    <mergeCell ref="D353:D355"/>
    <mergeCell ref="E353:E355"/>
    <mergeCell ref="F353:F355"/>
    <mergeCell ref="G353:G355"/>
    <mergeCell ref="H353:H355"/>
    <mergeCell ref="I353:I355"/>
    <mergeCell ref="J353:J355"/>
    <mergeCell ref="A356:A358"/>
    <mergeCell ref="D356:D358"/>
    <mergeCell ref="E356:E358"/>
    <mergeCell ref="F356:F358"/>
    <mergeCell ref="G356:G358"/>
    <mergeCell ref="H356:H358"/>
    <mergeCell ref="I356:I358"/>
    <mergeCell ref="J356:J358"/>
    <mergeCell ref="A368:A370"/>
    <mergeCell ref="D368:D370"/>
    <mergeCell ref="E368:E370"/>
    <mergeCell ref="F368:F370"/>
    <mergeCell ref="G368:G370"/>
    <mergeCell ref="H368:H370"/>
    <mergeCell ref="I368:I370"/>
    <mergeCell ref="J368:J370"/>
    <mergeCell ref="A371:A373"/>
    <mergeCell ref="D371:D373"/>
    <mergeCell ref="E371:E373"/>
    <mergeCell ref="F371:F373"/>
    <mergeCell ref="G371:G373"/>
    <mergeCell ref="H371:H373"/>
    <mergeCell ref="I371:I373"/>
    <mergeCell ref="J371:J373"/>
    <mergeCell ref="A362:A364"/>
    <mergeCell ref="D362:D364"/>
    <mergeCell ref="E362:E364"/>
    <mergeCell ref="F362:F364"/>
    <mergeCell ref="G362:G364"/>
    <mergeCell ref="H362:H364"/>
    <mergeCell ref="I362:I364"/>
    <mergeCell ref="J362:J364"/>
    <mergeCell ref="A365:A367"/>
    <mergeCell ref="D365:D367"/>
    <mergeCell ref="E365:E367"/>
    <mergeCell ref="F365:F367"/>
    <mergeCell ref="G365:G367"/>
    <mergeCell ref="H365:H367"/>
    <mergeCell ref="I365:I367"/>
    <mergeCell ref="J365:J367"/>
    <mergeCell ref="A380:A382"/>
    <mergeCell ref="D380:D382"/>
    <mergeCell ref="E380:E382"/>
    <mergeCell ref="F380:F382"/>
    <mergeCell ref="G380:G382"/>
    <mergeCell ref="H380:H382"/>
    <mergeCell ref="I380:I382"/>
    <mergeCell ref="J380:J382"/>
    <mergeCell ref="A383:A385"/>
    <mergeCell ref="D383:D385"/>
    <mergeCell ref="E383:E385"/>
    <mergeCell ref="F383:F385"/>
    <mergeCell ref="G383:G385"/>
    <mergeCell ref="H383:H385"/>
    <mergeCell ref="I383:I385"/>
    <mergeCell ref="J383:J385"/>
    <mergeCell ref="A374:A376"/>
    <mergeCell ref="D374:D376"/>
    <mergeCell ref="E374:E376"/>
    <mergeCell ref="F374:F376"/>
    <mergeCell ref="G374:G376"/>
    <mergeCell ref="H374:H376"/>
    <mergeCell ref="I374:I376"/>
    <mergeCell ref="J374:J376"/>
    <mergeCell ref="A377:A379"/>
    <mergeCell ref="D377:D379"/>
    <mergeCell ref="E377:E379"/>
    <mergeCell ref="F377:F379"/>
    <mergeCell ref="G377:G379"/>
    <mergeCell ref="H377:H379"/>
    <mergeCell ref="I377:I379"/>
    <mergeCell ref="J377:J379"/>
    <mergeCell ref="A386:A388"/>
    <mergeCell ref="D386:D388"/>
    <mergeCell ref="E386:E388"/>
    <mergeCell ref="F386:F388"/>
    <mergeCell ref="G386:G388"/>
    <mergeCell ref="H386:H388"/>
    <mergeCell ref="I386:I388"/>
    <mergeCell ref="J386:J388"/>
    <mergeCell ref="A389:A391"/>
    <mergeCell ref="D389:D391"/>
    <mergeCell ref="E389:E391"/>
    <mergeCell ref="F389:F391"/>
    <mergeCell ref="G389:G391"/>
    <mergeCell ref="H389:H391"/>
    <mergeCell ref="I389:I391"/>
    <mergeCell ref="J389:J391"/>
    <mergeCell ref="A392:A394"/>
    <mergeCell ref="D392:D394"/>
    <mergeCell ref="E392:E394"/>
    <mergeCell ref="F392:F394"/>
    <mergeCell ref="G392:G394"/>
    <mergeCell ref="H392:H394"/>
    <mergeCell ref="I392:I394"/>
    <mergeCell ref="J392:J394"/>
    <mergeCell ref="D395:D397"/>
    <mergeCell ref="A395:A397"/>
    <mergeCell ref="F395:F397"/>
    <mergeCell ref="G395:G397"/>
    <mergeCell ref="H395:H397"/>
    <mergeCell ref="I395:I397"/>
    <mergeCell ref="J395:J397"/>
    <mergeCell ref="A398:A400"/>
    <mergeCell ref="D398:D400"/>
    <mergeCell ref="E398:E400"/>
    <mergeCell ref="F398:F400"/>
    <mergeCell ref="G398:G400"/>
    <mergeCell ref="H398:H400"/>
    <mergeCell ref="I398:I400"/>
    <mergeCell ref="J398:J400"/>
    <mergeCell ref="E401:E403"/>
    <mergeCell ref="A401:A403"/>
    <mergeCell ref="D401:D403"/>
    <mergeCell ref="F401:F403"/>
    <mergeCell ref="G401:G403"/>
    <mergeCell ref="H401:H403"/>
    <mergeCell ref="I401:I403"/>
    <mergeCell ref="J401:J403"/>
    <mergeCell ref="A404:A406"/>
    <mergeCell ref="D404:D406"/>
    <mergeCell ref="E404:E406"/>
    <mergeCell ref="F404:F406"/>
    <mergeCell ref="G404:G406"/>
    <mergeCell ref="H404:H406"/>
    <mergeCell ref="I404:I406"/>
    <mergeCell ref="J404:J406"/>
    <mergeCell ref="A407:A409"/>
    <mergeCell ref="D407:D409"/>
    <mergeCell ref="E407:E409"/>
    <mergeCell ref="F407:F409"/>
    <mergeCell ref="G407:G409"/>
    <mergeCell ref="H407:H409"/>
    <mergeCell ref="I407:I409"/>
    <mergeCell ref="J407:J409"/>
    <mergeCell ref="A410:A412"/>
    <mergeCell ref="D410:D412"/>
    <mergeCell ref="E410:E412"/>
    <mergeCell ref="F410:F412"/>
    <mergeCell ref="G410:G412"/>
    <mergeCell ref="H410:H412"/>
    <mergeCell ref="I410:I412"/>
    <mergeCell ref="J410:J412"/>
    <mergeCell ref="A413:A415"/>
    <mergeCell ref="D413:D415"/>
    <mergeCell ref="E413:E415"/>
    <mergeCell ref="F413:F415"/>
    <mergeCell ref="G413:G415"/>
    <mergeCell ref="H413:H415"/>
    <mergeCell ref="I413:I415"/>
    <mergeCell ref="J413:J415"/>
    <mergeCell ref="A416:A418"/>
    <mergeCell ref="D416:D418"/>
    <mergeCell ref="E416:E418"/>
    <mergeCell ref="F416:F418"/>
    <mergeCell ref="G416:G418"/>
    <mergeCell ref="H416:H418"/>
    <mergeCell ref="I416:I418"/>
    <mergeCell ref="J416:J418"/>
    <mergeCell ref="A419:A421"/>
    <mergeCell ref="D419:D421"/>
    <mergeCell ref="E419:E421"/>
    <mergeCell ref="F419:F421"/>
    <mergeCell ref="G419:G421"/>
    <mergeCell ref="H419:H421"/>
    <mergeCell ref="I419:I421"/>
    <mergeCell ref="J419:J421"/>
    <mergeCell ref="A422:A424"/>
    <mergeCell ref="D422:D424"/>
    <mergeCell ref="E422:E424"/>
    <mergeCell ref="F422:F424"/>
    <mergeCell ref="G422:G424"/>
    <mergeCell ref="H422:H424"/>
    <mergeCell ref="I422:I424"/>
    <mergeCell ref="J422:J424"/>
    <mergeCell ref="A425:A427"/>
    <mergeCell ref="D425:D427"/>
    <mergeCell ref="E425:E427"/>
    <mergeCell ref="F425:F427"/>
    <mergeCell ref="G425:G427"/>
    <mergeCell ref="H425:H427"/>
    <mergeCell ref="I425:I427"/>
    <mergeCell ref="J425:J427"/>
    <mergeCell ref="A428:A430"/>
    <mergeCell ref="D428:D430"/>
    <mergeCell ref="E428:E430"/>
    <mergeCell ref="F428:F430"/>
    <mergeCell ref="G428:G430"/>
    <mergeCell ref="H428:H430"/>
    <mergeCell ref="I428:I430"/>
    <mergeCell ref="J428:J430"/>
    <mergeCell ref="A431:A433"/>
    <mergeCell ref="D431:D433"/>
    <mergeCell ref="E431:E433"/>
    <mergeCell ref="F431:F433"/>
    <mergeCell ref="G431:G433"/>
    <mergeCell ref="H431:H433"/>
    <mergeCell ref="I431:I433"/>
    <mergeCell ref="J431:J433"/>
    <mergeCell ref="A434:A436"/>
    <mergeCell ref="D434:D436"/>
    <mergeCell ref="E434:E436"/>
    <mergeCell ref="F434:F436"/>
    <mergeCell ref="G434:G436"/>
    <mergeCell ref="H434:H436"/>
    <mergeCell ref="I434:I436"/>
    <mergeCell ref="J434:J436"/>
    <mergeCell ref="A437:A439"/>
    <mergeCell ref="D437:D439"/>
    <mergeCell ref="E437:E439"/>
    <mergeCell ref="F437:F439"/>
    <mergeCell ref="G437:G439"/>
    <mergeCell ref="H437:H439"/>
    <mergeCell ref="I437:I439"/>
    <mergeCell ref="J437:J439"/>
    <mergeCell ref="A452:A454"/>
    <mergeCell ref="D452:D454"/>
    <mergeCell ref="E452:E454"/>
    <mergeCell ref="F452:F454"/>
    <mergeCell ref="G452:G454"/>
    <mergeCell ref="H452:H454"/>
    <mergeCell ref="I452:I454"/>
    <mergeCell ref="J452:J454"/>
    <mergeCell ref="A440:A442"/>
    <mergeCell ref="D440:D442"/>
    <mergeCell ref="E440:E442"/>
    <mergeCell ref="F440:F442"/>
    <mergeCell ref="G440:G442"/>
    <mergeCell ref="H440:H442"/>
    <mergeCell ref="I440:I442"/>
    <mergeCell ref="J440:J442"/>
    <mergeCell ref="A443:A445"/>
    <mergeCell ref="D443:D445"/>
    <mergeCell ref="E443:E445"/>
    <mergeCell ref="F443:F445"/>
    <mergeCell ref="G443:G445"/>
    <mergeCell ref="H443:H445"/>
    <mergeCell ref="I443:I445"/>
    <mergeCell ref="J443:J445"/>
    <mergeCell ref="A458:A460"/>
    <mergeCell ref="D458:D460"/>
    <mergeCell ref="E458:E460"/>
    <mergeCell ref="F458:F460"/>
    <mergeCell ref="G458:G460"/>
    <mergeCell ref="H458:H460"/>
    <mergeCell ref="I458:I460"/>
    <mergeCell ref="J458:J460"/>
    <mergeCell ref="A455:A457"/>
    <mergeCell ref="D455:D457"/>
    <mergeCell ref="E455:E457"/>
    <mergeCell ref="F455:F457"/>
    <mergeCell ref="G455:G457"/>
    <mergeCell ref="H455:H457"/>
    <mergeCell ref="I455:I457"/>
    <mergeCell ref="J455:J457"/>
    <mergeCell ref="A446:A448"/>
    <mergeCell ref="D446:D448"/>
    <mergeCell ref="E446:E448"/>
    <mergeCell ref="F446:F448"/>
    <mergeCell ref="G446:G448"/>
    <mergeCell ref="H446:H448"/>
    <mergeCell ref="I446:I448"/>
    <mergeCell ref="J446:J448"/>
    <mergeCell ref="A449:A451"/>
    <mergeCell ref="D449:D451"/>
    <mergeCell ref="E449:E451"/>
    <mergeCell ref="F449:F451"/>
    <mergeCell ref="G449:G451"/>
    <mergeCell ref="H449:H451"/>
    <mergeCell ref="I449:I451"/>
    <mergeCell ref="J449:J451"/>
  </mergeCells>
  <phoneticPr fontId="2" type="noConversion"/>
  <pageMargins left="0.78740157480314965" right="0" top="0.11811023622047245" bottom="3.937007874015748E-2" header="0.31496062992125984" footer="0.31496062992125984"/>
  <pageSetup scale="105"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5" tint="0.39997558519241921"/>
  </sheetPr>
  <dimension ref="A1:L59"/>
  <sheetViews>
    <sheetView showGridLines="0" showZeros="0" topLeftCell="A11" zoomScale="91" zoomScaleNormal="130" workbookViewId="0">
      <selection activeCell="D9" sqref="D9"/>
    </sheetView>
  </sheetViews>
  <sheetFormatPr baseColWidth="10" defaultColWidth="11.5546875" defaultRowHeight="14.4" x14ac:dyDescent="0.3"/>
  <cols>
    <col min="1" max="1" width="11.88671875" style="1" customWidth="1"/>
    <col min="2" max="2" width="7.33203125" style="1" customWidth="1"/>
    <col min="3" max="3" width="2.44140625" style="1" customWidth="1"/>
    <col min="4" max="4" width="12.6640625" style="1" customWidth="1"/>
    <col min="5" max="5" width="37.109375" style="1" customWidth="1"/>
    <col min="6" max="7" width="10.6640625" style="1" customWidth="1"/>
    <col min="8" max="8" width="13.88671875" style="1" bestFit="1" customWidth="1"/>
    <col min="9" max="9" width="10.6640625" style="1" customWidth="1"/>
    <col min="10" max="10" width="12.6640625" style="1" customWidth="1"/>
    <col min="11" max="11" width="12.5546875" style="1" bestFit="1" customWidth="1"/>
    <col min="12" max="12" width="13.6640625" style="1" bestFit="1" customWidth="1"/>
    <col min="13" max="16384" width="11.5546875" style="1"/>
  </cols>
  <sheetData>
    <row r="1" spans="1:11" x14ac:dyDescent="0.3">
      <c r="A1" s="383"/>
      <c r="B1" s="383"/>
      <c r="C1" s="383"/>
      <c r="D1" s="383"/>
      <c r="E1" s="383"/>
      <c r="F1" s="383"/>
      <c r="G1" s="383"/>
      <c r="H1" s="383"/>
      <c r="I1" s="383"/>
      <c r="J1" s="383"/>
    </row>
    <row r="2" spans="1:11" ht="18" x14ac:dyDescent="0.35">
      <c r="A2" s="384" t="s">
        <v>0</v>
      </c>
      <c r="B2" s="384"/>
      <c r="C2" s="384"/>
      <c r="D2" s="384"/>
      <c r="E2" s="384"/>
      <c r="F2" s="384"/>
      <c r="G2" s="384"/>
      <c r="H2" s="384"/>
      <c r="I2" s="384"/>
      <c r="J2" s="384"/>
    </row>
    <row r="3" spans="1:11" ht="15" customHeight="1" x14ac:dyDescent="0.3">
      <c r="A3" s="183"/>
      <c r="B3" s="183"/>
      <c r="C3" s="183"/>
      <c r="D3" s="183"/>
      <c r="E3" s="231" t="s">
        <v>130</v>
      </c>
      <c r="F3" s="396">
        <f>'INGRESO DE DATOS'!E10</f>
        <v>0</v>
      </c>
      <c r="G3" s="396"/>
      <c r="H3" s="396"/>
      <c r="I3" s="396"/>
      <c r="J3" s="183"/>
    </row>
    <row r="4" spans="1:11" x14ac:dyDescent="0.3">
      <c r="A4" s="183"/>
      <c r="B4" s="183"/>
      <c r="C4" s="183"/>
      <c r="D4" s="183"/>
      <c r="E4" s="232" t="s">
        <v>129</v>
      </c>
      <c r="F4" s="348">
        <f>'INGRESO DE DATOS'!I8</f>
        <v>0</v>
      </c>
      <c r="G4" s="348"/>
      <c r="H4" s="348"/>
      <c r="I4" s="348"/>
      <c r="J4" s="183"/>
    </row>
    <row r="5" spans="1:11" x14ac:dyDescent="0.3">
      <c r="A5" s="183"/>
      <c r="B5" s="183"/>
      <c r="C5" s="183"/>
      <c r="D5" s="183"/>
      <c r="E5" s="232" t="s">
        <v>131</v>
      </c>
      <c r="F5" s="349">
        <f>'INGRESO DE DATOS'!I10</f>
        <v>0</v>
      </c>
      <c r="G5" s="349"/>
      <c r="H5" s="349"/>
      <c r="I5" s="184"/>
      <c r="J5" s="183"/>
    </row>
    <row r="6" spans="1:11" ht="15" thickBot="1" x14ac:dyDescent="0.35">
      <c r="A6" s="385"/>
      <c r="B6" s="385"/>
      <c r="C6" s="385"/>
      <c r="D6" s="385"/>
      <c r="E6" s="385"/>
      <c r="F6" s="385"/>
      <c r="G6" s="385"/>
      <c r="H6" s="385"/>
      <c r="I6" s="385"/>
      <c r="J6" s="385"/>
    </row>
    <row r="7" spans="1:11" ht="18.600000000000001" thickBot="1" x14ac:dyDescent="0.4">
      <c r="A7" s="386" t="s">
        <v>12</v>
      </c>
      <c r="B7" s="387"/>
      <c r="C7" s="387"/>
      <c r="D7" s="387"/>
      <c r="E7" s="387"/>
      <c r="F7" s="387"/>
      <c r="G7" s="387"/>
      <c r="H7" s="387"/>
      <c r="I7" s="387"/>
      <c r="J7" s="388"/>
    </row>
    <row r="8" spans="1:11" ht="27.75" customHeight="1" thickBot="1" x14ac:dyDescent="0.35">
      <c r="A8" s="170" t="s">
        <v>1</v>
      </c>
      <c r="B8" s="393" t="s">
        <v>13</v>
      </c>
      <c r="C8" s="394"/>
      <c r="D8" s="395"/>
      <c r="E8" s="170" t="s">
        <v>3</v>
      </c>
      <c r="F8" s="170" t="s">
        <v>4</v>
      </c>
      <c r="G8" s="170" t="s">
        <v>5</v>
      </c>
      <c r="H8" s="170" t="s">
        <v>81</v>
      </c>
      <c r="I8" s="170" t="s">
        <v>125</v>
      </c>
      <c r="J8" s="170" t="s">
        <v>138</v>
      </c>
    </row>
    <row r="9" spans="1:11" ht="15" customHeight="1" x14ac:dyDescent="0.3">
      <c r="A9" s="122"/>
      <c r="B9" s="75" t="str">
        <f t="shared" ref="B9:B53" si="0">IF(G9&gt;1,"CE  -"," ")</f>
        <v xml:space="preserve"> </v>
      </c>
      <c r="C9" s="121" t="str">
        <f>IF(G9&gt;1,'INGRESO DE DATOS'!$I$9," ")</f>
        <v xml:space="preserve"> </v>
      </c>
      <c r="D9" s="149"/>
      <c r="E9" s="76" t="s">
        <v>80</v>
      </c>
      <c r="F9" s="77"/>
      <c r="G9" s="78">
        <f>SUM(H9+I9)</f>
        <v>0</v>
      </c>
      <c r="H9" s="79">
        <f>+'1006-Ingresos'!H464</f>
        <v>0</v>
      </c>
      <c r="I9" s="80">
        <f>+'1006-Ingresos'!I464</f>
        <v>0</v>
      </c>
      <c r="J9" s="79"/>
    </row>
    <row r="10" spans="1:11" x14ac:dyDescent="0.3">
      <c r="A10" s="74"/>
      <c r="B10" s="39" t="str">
        <f t="shared" si="0"/>
        <v xml:space="preserve"> </v>
      </c>
      <c r="C10" s="121" t="str">
        <f>IF(G10&gt;1,'INGRESO DE DATOS'!$I$9," ")</f>
        <v xml:space="preserve"> </v>
      </c>
      <c r="D10" s="150"/>
      <c r="E10" s="72" t="s">
        <v>70</v>
      </c>
      <c r="F10" s="68"/>
      <c r="G10" s="69">
        <f>'INGRESO DE DATOS'!M22</f>
        <v>0</v>
      </c>
      <c r="H10" s="71"/>
      <c r="I10" s="71"/>
      <c r="J10" s="71">
        <f>+'INGRESO DE DATOS'!M22</f>
        <v>0</v>
      </c>
      <c r="K10" s="2"/>
    </row>
    <row r="11" spans="1:11" x14ac:dyDescent="0.3">
      <c r="A11" s="74"/>
      <c r="B11" s="39" t="str">
        <f t="shared" si="0"/>
        <v xml:space="preserve"> </v>
      </c>
      <c r="C11" s="121" t="str">
        <f>IF(G11&gt;1,'INGRESO DE DATOS'!$I$9," ")</f>
        <v xml:space="preserve"> </v>
      </c>
      <c r="D11" s="150"/>
      <c r="E11" s="72" t="s">
        <v>71</v>
      </c>
      <c r="F11" s="68"/>
      <c r="G11" s="69">
        <f>SUM(H11:J11)</f>
        <v>0</v>
      </c>
      <c r="H11" s="71"/>
      <c r="I11" s="71"/>
      <c r="J11" s="71">
        <f>+'INGRESO DE DATOS'!M23+'INGRESO DE DATOS'!M24+'INGRESO DE DATOS'!M25+'INGRESO DE DATOS'!M26</f>
        <v>0</v>
      </c>
      <c r="K11" s="2"/>
    </row>
    <row r="12" spans="1:11" x14ac:dyDescent="0.3">
      <c r="A12" s="74"/>
      <c r="B12" s="39" t="str">
        <f t="shared" si="0"/>
        <v xml:space="preserve"> </v>
      </c>
      <c r="C12" s="121" t="str">
        <f>IF(G12&gt;1,'INGRESO DE DATOS'!$I$9," ")</f>
        <v xml:space="preserve"> </v>
      </c>
      <c r="D12" s="150"/>
      <c r="E12" s="72" t="str">
        <f>+'INGRESO DE DATOS'!L27</f>
        <v>Arriendo/ Pago cuota Lumisial</v>
      </c>
      <c r="F12" s="68"/>
      <c r="G12" s="69">
        <f t="shared" ref="G12:G53" si="1">SUM(H12:J12)</f>
        <v>0</v>
      </c>
      <c r="H12" s="71"/>
      <c r="I12" s="71"/>
      <c r="J12" s="71">
        <f>+'INGRESO DE DATOS'!M27</f>
        <v>0</v>
      </c>
      <c r="K12" s="2"/>
    </row>
    <row r="13" spans="1:11" x14ac:dyDescent="0.3">
      <c r="A13" s="74"/>
      <c r="B13" s="39" t="s">
        <v>199</v>
      </c>
      <c r="C13" s="121"/>
      <c r="D13" s="150"/>
      <c r="E13" s="72" t="str">
        <f>'INGRESO DE DATOS'!L31</f>
        <v>OBOLO</v>
      </c>
      <c r="F13" s="68"/>
      <c r="G13" s="69">
        <f>'INGRESO DE DATOS'!M31</f>
        <v>0</v>
      </c>
      <c r="H13" s="71"/>
      <c r="I13" s="71"/>
      <c r="J13" s="71">
        <f>'INGRESO DE DATOS'!M31</f>
        <v>0</v>
      </c>
      <c r="K13" s="2"/>
    </row>
    <row r="14" spans="1:11" x14ac:dyDescent="0.3">
      <c r="A14" s="74"/>
      <c r="B14" s="39" t="s">
        <v>199</v>
      </c>
      <c r="C14" s="121"/>
      <c r="D14" s="150"/>
      <c r="E14" s="72">
        <f>'INGRESO DE DATOS'!L32</f>
        <v>0</v>
      </c>
      <c r="F14" s="68"/>
      <c r="G14" s="69">
        <f>'INGRESO DE DATOS'!M32</f>
        <v>0</v>
      </c>
      <c r="H14" s="71"/>
      <c r="I14" s="71"/>
      <c r="J14" s="71">
        <f>'INGRESO DE DATOS'!M32</f>
        <v>0</v>
      </c>
      <c r="K14" s="2"/>
    </row>
    <row r="15" spans="1:11" x14ac:dyDescent="0.3">
      <c r="A15" s="74"/>
      <c r="B15" s="39" t="s">
        <v>199</v>
      </c>
      <c r="C15" s="121"/>
      <c r="D15" s="150"/>
      <c r="E15" s="72">
        <f>'INGRESO DE DATOS'!L33</f>
        <v>0</v>
      </c>
      <c r="F15" s="68"/>
      <c r="G15" s="69">
        <f>'INGRESO DE DATOS'!M33</f>
        <v>0</v>
      </c>
      <c r="H15" s="71"/>
      <c r="I15" s="71"/>
      <c r="J15" s="71">
        <f>'INGRESO DE DATOS'!M33</f>
        <v>0</v>
      </c>
      <c r="K15" s="2"/>
    </row>
    <row r="16" spans="1:11" x14ac:dyDescent="0.3">
      <c r="A16" s="74"/>
      <c r="B16" s="39" t="s">
        <v>199</v>
      </c>
      <c r="C16" s="121"/>
      <c r="D16" s="150"/>
      <c r="E16" s="72">
        <f>'INGRESO DE DATOS'!L34</f>
        <v>0</v>
      </c>
      <c r="F16" s="68"/>
      <c r="G16" s="69">
        <f>'INGRESO DE DATOS'!M34</f>
        <v>0</v>
      </c>
      <c r="H16" s="71"/>
      <c r="I16" s="71"/>
      <c r="J16" s="71">
        <f>'INGRESO DE DATOS'!M34</f>
        <v>0</v>
      </c>
      <c r="K16" s="2"/>
    </row>
    <row r="17" spans="1:12" x14ac:dyDescent="0.3">
      <c r="A17" s="74"/>
      <c r="B17" s="39" t="s">
        <v>199</v>
      </c>
      <c r="C17" s="121"/>
      <c r="D17" s="150"/>
      <c r="E17" s="72">
        <f>'INGRESO DE DATOS'!L35</f>
        <v>0</v>
      </c>
      <c r="F17" s="68"/>
      <c r="G17" s="69">
        <f>'INGRESO DE DATOS'!M35</f>
        <v>0</v>
      </c>
      <c r="H17" s="71"/>
      <c r="I17" s="71"/>
      <c r="J17" s="71">
        <f>'INGRESO DE DATOS'!M35</f>
        <v>0</v>
      </c>
      <c r="K17" s="2"/>
    </row>
    <row r="18" spans="1:12" x14ac:dyDescent="0.3">
      <c r="A18" s="74"/>
      <c r="B18" s="39" t="s">
        <v>199</v>
      </c>
      <c r="C18" s="121"/>
      <c r="D18" s="150"/>
      <c r="E18" s="72">
        <f>'INGRESO DE DATOS'!L36</f>
        <v>0</v>
      </c>
      <c r="F18" s="68"/>
      <c r="G18" s="69">
        <f>'INGRESO DE DATOS'!M36</f>
        <v>0</v>
      </c>
      <c r="H18" s="71"/>
      <c r="I18" s="71"/>
      <c r="J18" s="71">
        <f>'INGRESO DE DATOS'!M36</f>
        <v>0</v>
      </c>
      <c r="K18" s="2"/>
    </row>
    <row r="19" spans="1:12" x14ac:dyDescent="0.3">
      <c r="A19" s="74"/>
      <c r="B19" s="39" t="s">
        <v>199</v>
      </c>
      <c r="C19" s="121"/>
      <c r="D19" s="150"/>
      <c r="E19" s="72">
        <f>'INGRESO DE DATOS'!L37</f>
        <v>0</v>
      </c>
      <c r="F19" s="68"/>
      <c r="G19" s="69">
        <f>'INGRESO DE DATOS'!M37</f>
        <v>0</v>
      </c>
      <c r="H19" s="71"/>
      <c r="I19" s="71"/>
      <c r="J19" s="71">
        <f>'INGRESO DE DATOS'!M37</f>
        <v>0</v>
      </c>
      <c r="K19" s="2"/>
    </row>
    <row r="20" spans="1:12" x14ac:dyDescent="0.3">
      <c r="A20" s="74"/>
      <c r="B20" s="39" t="s">
        <v>199</v>
      </c>
      <c r="C20" s="121"/>
      <c r="D20" s="150"/>
      <c r="E20" s="72">
        <f>'INGRESO DE DATOS'!L38</f>
        <v>0</v>
      </c>
      <c r="F20" s="68"/>
      <c r="G20" s="69">
        <f>'INGRESO DE DATOS'!M38</f>
        <v>0</v>
      </c>
      <c r="H20" s="71"/>
      <c r="I20" s="71"/>
      <c r="J20" s="71">
        <f>'INGRESO DE DATOS'!M38</f>
        <v>0</v>
      </c>
      <c r="K20" s="2"/>
    </row>
    <row r="21" spans="1:12" x14ac:dyDescent="0.3">
      <c r="A21" s="74"/>
      <c r="B21" s="39" t="s">
        <v>199</v>
      </c>
      <c r="C21" s="121"/>
      <c r="D21" s="150"/>
      <c r="E21" s="72">
        <f>'INGRESO DE DATOS'!L39</f>
        <v>0</v>
      </c>
      <c r="F21" s="68"/>
      <c r="G21" s="69">
        <f>'INGRESO DE DATOS'!M39</f>
        <v>0</v>
      </c>
      <c r="H21" s="71"/>
      <c r="I21" s="71"/>
      <c r="J21" s="71">
        <f>'INGRESO DE DATOS'!M39</f>
        <v>0</v>
      </c>
      <c r="K21" s="2"/>
    </row>
    <row r="22" spans="1:12" x14ac:dyDescent="0.3">
      <c r="A22" s="74"/>
      <c r="B22" s="39" t="s">
        <v>199</v>
      </c>
      <c r="C22" s="121"/>
      <c r="D22" s="150"/>
      <c r="E22" s="72">
        <f>'INGRESO DE DATOS'!L40</f>
        <v>0</v>
      </c>
      <c r="F22" s="68"/>
      <c r="G22" s="69">
        <f>'INGRESO DE DATOS'!M40</f>
        <v>0</v>
      </c>
      <c r="H22" s="71"/>
      <c r="I22" s="71"/>
      <c r="J22" s="71">
        <f>'INGRESO DE DATOS'!M40</f>
        <v>0</v>
      </c>
      <c r="K22" s="2"/>
    </row>
    <row r="23" spans="1:12" x14ac:dyDescent="0.3">
      <c r="A23" s="74">
        <f>+'INGRESO DE DATOS'!K41</f>
        <v>0</v>
      </c>
      <c r="B23" s="39" t="str">
        <f t="shared" si="0"/>
        <v xml:space="preserve"> </v>
      </c>
      <c r="C23" s="121" t="str">
        <f>IF(G23&gt;1,'INGRESO DE DATOS'!$I$9," ")</f>
        <v xml:space="preserve"> </v>
      </c>
      <c r="D23" s="150"/>
      <c r="E23" s="72">
        <f>'INGRESO DE DATOS'!L41</f>
        <v>0</v>
      </c>
      <c r="F23" s="68"/>
      <c r="G23" s="69">
        <f>'INGRESO DE DATOS'!M41</f>
        <v>0</v>
      </c>
      <c r="H23" s="71"/>
      <c r="I23" s="71"/>
      <c r="J23" s="71">
        <f>+'INGRESO DE DATOS'!M41</f>
        <v>0</v>
      </c>
      <c r="K23" s="2"/>
      <c r="L23" s="2"/>
    </row>
    <row r="24" spans="1:12" x14ac:dyDescent="0.3">
      <c r="A24" s="74">
        <f>+'INGRESO DE DATOS'!K42</f>
        <v>0</v>
      </c>
      <c r="B24" s="39" t="str">
        <f t="shared" si="0"/>
        <v xml:space="preserve"> </v>
      </c>
      <c r="C24" s="121" t="str">
        <f>IF(G24&gt;1,'INGRESO DE DATOS'!$I$9," ")</f>
        <v xml:space="preserve"> </v>
      </c>
      <c r="D24" s="150"/>
      <c r="E24" s="72">
        <f>'INGRESO DE DATOS'!L42</f>
        <v>0</v>
      </c>
      <c r="F24" s="68"/>
      <c r="G24" s="69">
        <f>'INGRESO DE DATOS'!M42</f>
        <v>0</v>
      </c>
      <c r="H24" s="71"/>
      <c r="I24" s="71"/>
      <c r="J24" s="71">
        <f>+'INGRESO DE DATOS'!M42</f>
        <v>0</v>
      </c>
      <c r="K24" s="2"/>
    </row>
    <row r="25" spans="1:12" x14ac:dyDescent="0.3">
      <c r="A25" s="74">
        <f>+'INGRESO DE DATOS'!K43</f>
        <v>0</v>
      </c>
      <c r="B25" s="39" t="str">
        <f t="shared" si="0"/>
        <v xml:space="preserve"> </v>
      </c>
      <c r="C25" s="121" t="str">
        <f>IF(G25&gt;1,'INGRESO DE DATOS'!$I$9," ")</f>
        <v xml:space="preserve"> </v>
      </c>
      <c r="D25" s="150"/>
      <c r="E25" s="72">
        <f>'INGRESO DE DATOS'!L43</f>
        <v>0</v>
      </c>
      <c r="F25" s="68"/>
      <c r="G25" s="69">
        <f>'INGRESO DE DATOS'!M43</f>
        <v>0</v>
      </c>
      <c r="H25" s="70"/>
      <c r="I25" s="70"/>
      <c r="J25" s="70">
        <f>+'INGRESO DE DATOS'!M43</f>
        <v>0</v>
      </c>
      <c r="L25" s="3"/>
    </row>
    <row r="26" spans="1:12" x14ac:dyDescent="0.3">
      <c r="A26" s="74">
        <f>+'INGRESO DE DATOS'!K44</f>
        <v>0</v>
      </c>
      <c r="B26" s="39" t="str">
        <f t="shared" si="0"/>
        <v xml:space="preserve"> </v>
      </c>
      <c r="C26" s="121" t="str">
        <f>IF(G26&gt;1,'INGRESO DE DATOS'!$I$9," ")</f>
        <v xml:space="preserve"> </v>
      </c>
      <c r="D26" s="150"/>
      <c r="E26" s="72">
        <f>'INGRESO DE DATOS'!L44</f>
        <v>0</v>
      </c>
      <c r="F26" s="68"/>
      <c r="G26" s="69">
        <f>'INGRESO DE DATOS'!M44</f>
        <v>0</v>
      </c>
      <c r="H26" s="70"/>
      <c r="I26" s="70"/>
      <c r="J26" s="70">
        <f>+'INGRESO DE DATOS'!M44</f>
        <v>0</v>
      </c>
    </row>
    <row r="27" spans="1:12" x14ac:dyDescent="0.3">
      <c r="A27" s="74">
        <f>+'INGRESO DE DATOS'!K45</f>
        <v>0</v>
      </c>
      <c r="B27" s="39" t="str">
        <f t="shared" si="0"/>
        <v xml:space="preserve"> </v>
      </c>
      <c r="C27" s="121" t="str">
        <f>IF(G27&gt;1,'INGRESO DE DATOS'!$I$9," ")</f>
        <v xml:space="preserve"> </v>
      </c>
      <c r="D27" s="150"/>
      <c r="E27" s="72">
        <f>'INGRESO DE DATOS'!L45</f>
        <v>0</v>
      </c>
      <c r="F27" s="68"/>
      <c r="G27" s="69">
        <f>'INGRESO DE DATOS'!M45</f>
        <v>0</v>
      </c>
      <c r="H27" s="70"/>
      <c r="I27" s="70"/>
      <c r="J27" s="70">
        <f>+'INGRESO DE DATOS'!M45</f>
        <v>0</v>
      </c>
    </row>
    <row r="28" spans="1:12" x14ac:dyDescent="0.3">
      <c r="A28" s="74">
        <f>+'INGRESO DE DATOS'!K46</f>
        <v>0</v>
      </c>
      <c r="B28" s="39" t="str">
        <f t="shared" si="0"/>
        <v xml:space="preserve"> </v>
      </c>
      <c r="C28" s="121" t="str">
        <f>IF(G28&gt;1,'INGRESO DE DATOS'!$I$9," ")</f>
        <v xml:space="preserve"> </v>
      </c>
      <c r="D28" s="150"/>
      <c r="E28" s="72">
        <f>'INGRESO DE DATOS'!L46</f>
        <v>0</v>
      </c>
      <c r="F28" s="68"/>
      <c r="G28" s="69">
        <f>'INGRESO DE DATOS'!M46</f>
        <v>0</v>
      </c>
      <c r="H28" s="70"/>
      <c r="I28" s="70"/>
      <c r="J28" s="70">
        <f>+'INGRESO DE DATOS'!M46</f>
        <v>0</v>
      </c>
    </row>
    <row r="29" spans="1:12" x14ac:dyDescent="0.3">
      <c r="A29" s="74">
        <f>+'INGRESO DE DATOS'!K51</f>
        <v>0</v>
      </c>
      <c r="B29" s="39" t="str">
        <f t="shared" si="0"/>
        <v xml:space="preserve"> </v>
      </c>
      <c r="C29" s="121" t="str">
        <f>IF(G29&gt;1,'INGRESO DE DATOS'!$I$9," ")</f>
        <v xml:space="preserve"> </v>
      </c>
      <c r="D29" s="150"/>
      <c r="E29" s="72" t="str">
        <f>+'INGRESO DE DATOS'!L51</f>
        <v>FLORES</v>
      </c>
      <c r="F29" s="68"/>
      <c r="G29" s="69">
        <f t="shared" si="1"/>
        <v>0</v>
      </c>
      <c r="H29" s="70"/>
      <c r="I29" s="70"/>
      <c r="J29" s="70">
        <f>+'INGRESO DE DATOS'!M51</f>
        <v>0</v>
      </c>
    </row>
    <row r="30" spans="1:12" x14ac:dyDescent="0.3">
      <c r="A30" s="74">
        <f>+'INGRESO DE DATOS'!K52</f>
        <v>0</v>
      </c>
      <c r="B30" s="39" t="str">
        <f t="shared" si="0"/>
        <v xml:space="preserve"> </v>
      </c>
      <c r="C30" s="121" t="str">
        <f>IF(G30&gt;1,'INGRESO DE DATOS'!$I$9," ")</f>
        <v xml:space="preserve"> </v>
      </c>
      <c r="D30" s="150"/>
      <c r="E30" s="72" t="str">
        <f>+'INGRESO DE DATOS'!L52</f>
        <v>UVAS</v>
      </c>
      <c r="F30" s="68"/>
      <c r="G30" s="69">
        <f t="shared" si="1"/>
        <v>0</v>
      </c>
      <c r="H30" s="70"/>
      <c r="I30" s="70"/>
      <c r="J30" s="70">
        <f>+'INGRESO DE DATOS'!M52</f>
        <v>0</v>
      </c>
    </row>
    <row r="31" spans="1:12" x14ac:dyDescent="0.3">
      <c r="A31" s="74">
        <f>+'INGRESO DE DATOS'!K53</f>
        <v>0</v>
      </c>
      <c r="B31" s="39" t="str">
        <f t="shared" si="0"/>
        <v xml:space="preserve"> </v>
      </c>
      <c r="C31" s="121" t="str">
        <f>IF(G31&gt;1,'INGRESO DE DATOS'!$I$9," ")</f>
        <v xml:space="preserve"> </v>
      </c>
      <c r="D31" s="150"/>
      <c r="E31" s="72" t="str">
        <f>+'INGRESO DE DATOS'!L53</f>
        <v>COPAS</v>
      </c>
      <c r="F31" s="68"/>
      <c r="G31" s="69">
        <f t="shared" si="1"/>
        <v>0</v>
      </c>
      <c r="H31" s="70"/>
      <c r="I31" s="70"/>
      <c r="J31" s="70">
        <f>+'INGRESO DE DATOS'!M53</f>
        <v>0</v>
      </c>
    </row>
    <row r="32" spans="1:12" x14ac:dyDescent="0.3">
      <c r="A32" s="74">
        <f>+'INGRESO DE DATOS'!K54</f>
        <v>0</v>
      </c>
      <c r="B32" s="39" t="str">
        <f t="shared" si="0"/>
        <v xml:space="preserve"> </v>
      </c>
      <c r="C32" s="121" t="str">
        <f>IF(G32&gt;1,'INGRESO DE DATOS'!$I$9," ")</f>
        <v xml:space="preserve"> </v>
      </c>
      <c r="D32" s="150"/>
      <c r="E32" s="72" t="str">
        <f>+'INGRESO DE DATOS'!L54</f>
        <v>OASIS</v>
      </c>
      <c r="F32" s="68"/>
      <c r="G32" s="69">
        <f t="shared" si="1"/>
        <v>0</v>
      </c>
      <c r="H32" s="70"/>
      <c r="I32" s="70"/>
      <c r="J32" s="70">
        <f>+'INGRESO DE DATOS'!M54</f>
        <v>0</v>
      </c>
    </row>
    <row r="33" spans="1:12" x14ac:dyDescent="0.3">
      <c r="A33" s="74">
        <f>+'INGRESO DE DATOS'!K55</f>
        <v>0</v>
      </c>
      <c r="B33" s="39" t="str">
        <f t="shared" si="0"/>
        <v xml:space="preserve"> </v>
      </c>
      <c r="C33" s="121" t="str">
        <f>IF(G33&gt;1,'INGRESO DE DATOS'!$I$9," ")</f>
        <v xml:space="preserve"> </v>
      </c>
      <c r="D33" s="150"/>
      <c r="E33" s="72" t="str">
        <f>+'INGRESO DE DATOS'!L55</f>
        <v>VELAS</v>
      </c>
      <c r="F33" s="68"/>
      <c r="G33" s="69">
        <f t="shared" si="1"/>
        <v>0</v>
      </c>
      <c r="H33" s="70"/>
      <c r="I33" s="70"/>
      <c r="J33" s="70">
        <f>+'INGRESO DE DATOS'!M55</f>
        <v>0</v>
      </c>
    </row>
    <row r="34" spans="1:12" x14ac:dyDescent="0.3">
      <c r="A34" s="74">
        <f>+'INGRESO DE DATOS'!K56</f>
        <v>0</v>
      </c>
      <c r="B34" s="39" t="str">
        <f t="shared" si="0"/>
        <v xml:space="preserve"> </v>
      </c>
      <c r="C34" s="121" t="str">
        <f>IF(G34&gt;1,'INGRESO DE DATOS'!$I$9," ")</f>
        <v xml:space="preserve"> </v>
      </c>
      <c r="D34" s="150"/>
      <c r="E34" s="72" t="str">
        <f>+'INGRESO DE DATOS'!L56</f>
        <v>ACEITE</v>
      </c>
      <c r="F34" s="68"/>
      <c r="G34" s="69">
        <f t="shared" si="1"/>
        <v>0</v>
      </c>
      <c r="H34" s="70"/>
      <c r="I34" s="70"/>
      <c r="J34" s="70">
        <f>+'INGRESO DE DATOS'!M56</f>
        <v>0</v>
      </c>
    </row>
    <row r="35" spans="1:12" x14ac:dyDescent="0.3">
      <c r="A35" s="74">
        <f>+'INGRESO DE DATOS'!K57</f>
        <v>0</v>
      </c>
      <c r="B35" s="39" t="str">
        <f t="shared" si="0"/>
        <v xml:space="preserve"> </v>
      </c>
      <c r="C35" s="121" t="str">
        <f>IF(G35&gt;1,'INGRESO DE DATOS'!$I$9," ")</f>
        <v xml:space="preserve"> </v>
      </c>
      <c r="D35" s="150"/>
      <c r="E35" s="72" t="str">
        <f>+'INGRESO DE DATOS'!L57</f>
        <v>CARBON</v>
      </c>
      <c r="F35" s="68"/>
      <c r="G35" s="69">
        <f t="shared" si="1"/>
        <v>0</v>
      </c>
      <c r="H35" s="70"/>
      <c r="I35" s="70"/>
      <c r="J35" s="70">
        <f>+'INGRESO DE DATOS'!M57</f>
        <v>0</v>
      </c>
    </row>
    <row r="36" spans="1:12" x14ac:dyDescent="0.3">
      <c r="A36" s="74">
        <f>+'INGRESO DE DATOS'!K58</f>
        <v>0</v>
      </c>
      <c r="B36" s="39" t="str">
        <f t="shared" si="0"/>
        <v xml:space="preserve"> </v>
      </c>
      <c r="C36" s="121" t="str">
        <f>IF(G36&gt;1,'INGRESO DE DATOS'!$I$9," ")</f>
        <v xml:space="preserve"> </v>
      </c>
      <c r="D36" s="150"/>
      <c r="E36" s="72" t="str">
        <f>+'INGRESO DE DATOS'!L58</f>
        <v>PAN</v>
      </c>
      <c r="F36" s="68"/>
      <c r="G36" s="69">
        <f t="shared" si="1"/>
        <v>0</v>
      </c>
      <c r="H36" s="70"/>
      <c r="I36" s="70"/>
      <c r="J36" s="70">
        <f>+'INGRESO DE DATOS'!M58</f>
        <v>0</v>
      </c>
    </row>
    <row r="37" spans="1:12" x14ac:dyDescent="0.3">
      <c r="A37" s="74">
        <f>+'INGRESO DE DATOS'!K59</f>
        <v>0</v>
      </c>
      <c r="B37" s="39" t="str">
        <f t="shared" si="0"/>
        <v xml:space="preserve"> </v>
      </c>
      <c r="C37" s="121" t="str">
        <f>IF(G37&gt;1,'INGRESO DE DATOS'!$I$9," ")</f>
        <v xml:space="preserve"> </v>
      </c>
      <c r="D37" s="150"/>
      <c r="E37" s="72">
        <f>+'INGRESO DE DATOS'!L59</f>
        <v>0</v>
      </c>
      <c r="F37" s="68"/>
      <c r="G37" s="69">
        <f t="shared" si="1"/>
        <v>0</v>
      </c>
      <c r="H37" s="70"/>
      <c r="I37" s="70"/>
      <c r="J37" s="70">
        <f>+'INGRESO DE DATOS'!M59</f>
        <v>0</v>
      </c>
    </row>
    <row r="38" spans="1:12" x14ac:dyDescent="0.3">
      <c r="A38" s="74">
        <f>+'INGRESO DE DATOS'!K60</f>
        <v>0</v>
      </c>
      <c r="B38" s="39" t="str">
        <f t="shared" si="0"/>
        <v xml:space="preserve"> </v>
      </c>
      <c r="C38" s="121" t="str">
        <f>IF(G38&gt;1,'INGRESO DE DATOS'!$I$9," ")</f>
        <v xml:space="preserve"> </v>
      </c>
      <c r="D38" s="40"/>
      <c r="E38" s="72">
        <f>+'INGRESO DE DATOS'!L60</f>
        <v>0</v>
      </c>
      <c r="F38" s="68"/>
      <c r="G38" s="69">
        <f t="shared" si="1"/>
        <v>0</v>
      </c>
      <c r="H38" s="70"/>
      <c r="I38" s="70"/>
      <c r="J38" s="70">
        <f>+'INGRESO DE DATOS'!M60</f>
        <v>0</v>
      </c>
    </row>
    <row r="39" spans="1:12" x14ac:dyDescent="0.3">
      <c r="A39" s="74">
        <f>+'INGRESO DE DATOS'!K61</f>
        <v>0</v>
      </c>
      <c r="B39" s="39" t="str">
        <f t="shared" si="0"/>
        <v xml:space="preserve"> </v>
      </c>
      <c r="C39" s="121" t="str">
        <f>IF(G39&gt;1,'INGRESO DE DATOS'!$I$9," ")</f>
        <v xml:space="preserve"> </v>
      </c>
      <c r="D39" s="40"/>
      <c r="E39" s="72">
        <f>+'INGRESO DE DATOS'!L61</f>
        <v>0</v>
      </c>
      <c r="F39" s="68"/>
      <c r="G39" s="69">
        <f t="shared" si="1"/>
        <v>0</v>
      </c>
      <c r="H39" s="70"/>
      <c r="I39" s="70"/>
      <c r="J39" s="70">
        <f>+'INGRESO DE DATOS'!M61</f>
        <v>0</v>
      </c>
    </row>
    <row r="40" spans="1:12" x14ac:dyDescent="0.3">
      <c r="A40" s="74">
        <f>+'INGRESO DE DATOS'!K62</f>
        <v>0</v>
      </c>
      <c r="B40" s="39" t="str">
        <f t="shared" si="0"/>
        <v xml:space="preserve"> </v>
      </c>
      <c r="C40" s="121" t="str">
        <f>IF(G40&gt;1,'INGRESO DE DATOS'!$I$9," ")</f>
        <v xml:space="preserve"> </v>
      </c>
      <c r="D40" s="40"/>
      <c r="E40" s="72">
        <f>+'INGRESO DE DATOS'!L62</f>
        <v>0</v>
      </c>
      <c r="F40" s="68"/>
      <c r="G40" s="69">
        <f t="shared" si="1"/>
        <v>0</v>
      </c>
      <c r="H40" s="70"/>
      <c r="I40" s="70"/>
      <c r="J40" s="70">
        <f>+'INGRESO DE DATOS'!M62</f>
        <v>0</v>
      </c>
      <c r="L40" s="3"/>
    </row>
    <row r="41" spans="1:12" x14ac:dyDescent="0.3">
      <c r="A41" s="74">
        <f>+'INGRESO DE DATOS'!K63</f>
        <v>0</v>
      </c>
      <c r="B41" s="39" t="str">
        <f t="shared" si="0"/>
        <v xml:space="preserve"> </v>
      </c>
      <c r="C41" s="121" t="str">
        <f>IF(G41&gt;1,'INGRESO DE DATOS'!$I$9," ")</f>
        <v xml:space="preserve"> </v>
      </c>
      <c r="D41" s="40"/>
      <c r="E41" s="72">
        <f>+'INGRESO DE DATOS'!L63</f>
        <v>0</v>
      </c>
      <c r="F41" s="68"/>
      <c r="G41" s="69">
        <f t="shared" si="1"/>
        <v>0</v>
      </c>
      <c r="H41" s="70"/>
      <c r="I41" s="70"/>
      <c r="J41" s="70">
        <f>+'INGRESO DE DATOS'!M63</f>
        <v>0</v>
      </c>
      <c r="L41" s="13"/>
    </row>
    <row r="42" spans="1:12" x14ac:dyDescent="0.3">
      <c r="A42" s="74">
        <f>+'INGRESO DE DATOS'!K64</f>
        <v>0</v>
      </c>
      <c r="B42" s="39" t="str">
        <f t="shared" si="0"/>
        <v xml:space="preserve"> </v>
      </c>
      <c r="C42" s="121" t="str">
        <f>IF(G42&gt;1,'INGRESO DE DATOS'!$I$9," ")</f>
        <v xml:space="preserve"> </v>
      </c>
      <c r="D42" s="40"/>
      <c r="E42" s="72">
        <f>+'INGRESO DE DATOS'!L64</f>
        <v>0</v>
      </c>
      <c r="F42" s="68"/>
      <c r="G42" s="69">
        <f t="shared" si="1"/>
        <v>0</v>
      </c>
      <c r="H42" s="70"/>
      <c r="I42" s="70"/>
      <c r="J42" s="70">
        <f>+'INGRESO DE DATOS'!M64</f>
        <v>0</v>
      </c>
    </row>
    <row r="43" spans="1:12" x14ac:dyDescent="0.3">
      <c r="A43" s="74">
        <f>+'INGRESO DE DATOS'!K65</f>
        <v>0</v>
      </c>
      <c r="B43" s="39" t="str">
        <f t="shared" si="0"/>
        <v xml:space="preserve"> </v>
      </c>
      <c r="C43" s="121" t="str">
        <f>IF(G43&gt;1,'INGRESO DE DATOS'!$I$9," ")</f>
        <v xml:space="preserve"> </v>
      </c>
      <c r="D43" s="40"/>
      <c r="E43" s="72">
        <f>+'INGRESO DE DATOS'!L65</f>
        <v>0</v>
      </c>
      <c r="F43" s="68"/>
      <c r="G43" s="69">
        <f t="shared" si="1"/>
        <v>0</v>
      </c>
      <c r="H43" s="70"/>
      <c r="I43" s="70"/>
      <c r="J43" s="70">
        <f>+'INGRESO DE DATOS'!M65</f>
        <v>0</v>
      </c>
    </row>
    <row r="44" spans="1:12" x14ac:dyDescent="0.3">
      <c r="A44" s="74">
        <f>+'INGRESO DE DATOS'!K66</f>
        <v>0</v>
      </c>
      <c r="B44" s="39" t="str">
        <f t="shared" si="0"/>
        <v xml:space="preserve"> </v>
      </c>
      <c r="C44" s="121" t="str">
        <f>IF(G44&gt;1,'INGRESO DE DATOS'!$I$9," ")</f>
        <v xml:space="preserve"> </v>
      </c>
      <c r="D44" s="40"/>
      <c r="E44" s="72">
        <f>+'INGRESO DE DATOS'!L66</f>
        <v>0</v>
      </c>
      <c r="F44" s="68"/>
      <c r="G44" s="69">
        <f t="shared" si="1"/>
        <v>0</v>
      </c>
      <c r="H44" s="70"/>
      <c r="I44" s="70"/>
      <c r="J44" s="70">
        <f>+'INGRESO DE DATOS'!M66</f>
        <v>0</v>
      </c>
    </row>
    <row r="45" spans="1:12" x14ac:dyDescent="0.3">
      <c r="A45" s="74">
        <f>+'INGRESO DE DATOS'!K67</f>
        <v>0</v>
      </c>
      <c r="B45" s="39" t="str">
        <f t="shared" si="0"/>
        <v xml:space="preserve"> </v>
      </c>
      <c r="C45" s="121" t="str">
        <f>IF(G45&gt;1,'INGRESO DE DATOS'!$I$9," ")</f>
        <v xml:space="preserve"> </v>
      </c>
      <c r="D45" s="40"/>
      <c r="E45" s="72">
        <f>+'INGRESO DE DATOS'!L67</f>
        <v>0</v>
      </c>
      <c r="F45" s="68"/>
      <c r="G45" s="69">
        <f t="shared" si="1"/>
        <v>0</v>
      </c>
      <c r="H45" s="70"/>
      <c r="I45" s="70"/>
      <c r="J45" s="70">
        <f>+'INGRESO DE DATOS'!M67</f>
        <v>0</v>
      </c>
    </row>
    <row r="46" spans="1:12" x14ac:dyDescent="0.3">
      <c r="A46" s="74">
        <f>+'INGRESO DE DATOS'!K68</f>
        <v>0</v>
      </c>
      <c r="B46" s="39" t="str">
        <f t="shared" si="0"/>
        <v xml:space="preserve"> </v>
      </c>
      <c r="C46" s="121" t="str">
        <f>IF(G46&gt;1,'INGRESO DE DATOS'!$I$9," ")</f>
        <v xml:space="preserve"> </v>
      </c>
      <c r="D46" s="40"/>
      <c r="E46" s="72">
        <f>+'INGRESO DE DATOS'!L68</f>
        <v>0</v>
      </c>
      <c r="F46" s="68"/>
      <c r="G46" s="69">
        <f t="shared" si="1"/>
        <v>0</v>
      </c>
      <c r="H46" s="70"/>
      <c r="I46" s="70"/>
      <c r="J46" s="70">
        <f>+'INGRESO DE DATOS'!M68</f>
        <v>0</v>
      </c>
    </row>
    <row r="47" spans="1:12" x14ac:dyDescent="0.3">
      <c r="A47" s="74">
        <f>+'INGRESO DE DATOS'!K69</f>
        <v>0</v>
      </c>
      <c r="B47" s="39" t="str">
        <f t="shared" si="0"/>
        <v xml:space="preserve"> </v>
      </c>
      <c r="C47" s="121" t="str">
        <f>IF(G47&gt;1,'INGRESO DE DATOS'!$I$9," ")</f>
        <v xml:space="preserve"> </v>
      </c>
      <c r="D47" s="40"/>
      <c r="E47" s="72">
        <f>+'INGRESO DE DATOS'!L69</f>
        <v>0</v>
      </c>
      <c r="F47" s="68"/>
      <c r="G47" s="69">
        <f t="shared" si="1"/>
        <v>0</v>
      </c>
      <c r="H47" s="70"/>
      <c r="I47" s="70"/>
      <c r="J47" s="70">
        <f>+'INGRESO DE DATOS'!M69</f>
        <v>0</v>
      </c>
    </row>
    <row r="48" spans="1:12" x14ac:dyDescent="0.3">
      <c r="A48" s="74">
        <f>+'INGRESO DE DATOS'!K70</f>
        <v>0</v>
      </c>
      <c r="B48" s="39" t="str">
        <f t="shared" si="0"/>
        <v xml:space="preserve"> </v>
      </c>
      <c r="C48" s="121" t="str">
        <f>IF(G48&gt;1,'INGRESO DE DATOS'!$I$9," ")</f>
        <v xml:space="preserve"> </v>
      </c>
      <c r="D48" s="40"/>
      <c r="E48" s="72">
        <f>+'INGRESO DE DATOS'!L70</f>
        <v>0</v>
      </c>
      <c r="F48" s="68"/>
      <c r="G48" s="69">
        <f t="shared" si="1"/>
        <v>0</v>
      </c>
      <c r="H48" s="70"/>
      <c r="I48" s="70"/>
      <c r="J48" s="70">
        <f>+'INGRESO DE DATOS'!M70</f>
        <v>0</v>
      </c>
    </row>
    <row r="49" spans="1:12" x14ac:dyDescent="0.3">
      <c r="A49" s="74">
        <f>+'INGRESO DE DATOS'!K71</f>
        <v>0</v>
      </c>
      <c r="B49" s="39" t="str">
        <f t="shared" si="0"/>
        <v xml:space="preserve"> </v>
      </c>
      <c r="C49" s="121" t="str">
        <f>IF(G49&gt;1,'INGRESO DE DATOS'!$I$9," ")</f>
        <v xml:space="preserve"> </v>
      </c>
      <c r="D49" s="40"/>
      <c r="E49" s="72">
        <f>+'INGRESO DE DATOS'!L71</f>
        <v>0</v>
      </c>
      <c r="F49" s="68"/>
      <c r="G49" s="69">
        <f t="shared" si="1"/>
        <v>0</v>
      </c>
      <c r="H49" s="70"/>
      <c r="I49" s="70"/>
      <c r="J49" s="70">
        <f>+'INGRESO DE DATOS'!M71</f>
        <v>0</v>
      </c>
    </row>
    <row r="50" spans="1:12" x14ac:dyDescent="0.3">
      <c r="A50" s="74">
        <f>+'INGRESO DE DATOS'!K72</f>
        <v>0</v>
      </c>
      <c r="B50" s="39" t="str">
        <f t="shared" si="0"/>
        <v xml:space="preserve"> </v>
      </c>
      <c r="C50" s="121" t="str">
        <f>IF(G50&gt;1,'INGRESO DE DATOS'!$I$9," ")</f>
        <v xml:space="preserve"> </v>
      </c>
      <c r="D50" s="40"/>
      <c r="E50" s="72">
        <f>+'INGRESO DE DATOS'!L72</f>
        <v>0</v>
      </c>
      <c r="F50" s="68"/>
      <c r="G50" s="69">
        <f t="shared" si="1"/>
        <v>0</v>
      </c>
      <c r="H50" s="70"/>
      <c r="I50" s="70"/>
      <c r="J50" s="70">
        <f>+'INGRESO DE DATOS'!M72</f>
        <v>0</v>
      </c>
    </row>
    <row r="51" spans="1:12" x14ac:dyDescent="0.3">
      <c r="A51" s="74">
        <f>+'INGRESO DE DATOS'!K73</f>
        <v>0</v>
      </c>
      <c r="B51" s="39" t="str">
        <f t="shared" si="0"/>
        <v xml:space="preserve"> </v>
      </c>
      <c r="C51" s="121" t="str">
        <f>IF(G51&gt;1,'INGRESO DE DATOS'!$I$9," ")</f>
        <v xml:space="preserve"> </v>
      </c>
      <c r="D51" s="40"/>
      <c r="E51" s="72">
        <f>+'INGRESO DE DATOS'!L73</f>
        <v>0</v>
      </c>
      <c r="F51" s="68"/>
      <c r="G51" s="69">
        <f t="shared" si="1"/>
        <v>0</v>
      </c>
      <c r="H51" s="73"/>
      <c r="I51" s="73"/>
      <c r="J51" s="70">
        <f>+'INGRESO DE DATOS'!M73</f>
        <v>0</v>
      </c>
    </row>
    <row r="52" spans="1:12" x14ac:dyDescent="0.3">
      <c r="A52" s="74">
        <f>+'INGRESO DE DATOS'!K74</f>
        <v>0</v>
      </c>
      <c r="B52" s="39" t="str">
        <f t="shared" si="0"/>
        <v xml:space="preserve"> </v>
      </c>
      <c r="C52" s="121" t="str">
        <f>IF(G52&gt;1,'INGRESO DE DATOS'!$I$9," ")</f>
        <v xml:space="preserve"> </v>
      </c>
      <c r="D52" s="40"/>
      <c r="E52" s="72">
        <f>+'INGRESO DE DATOS'!L74</f>
        <v>0</v>
      </c>
      <c r="F52" s="68"/>
      <c r="G52" s="69">
        <f t="shared" si="1"/>
        <v>0</v>
      </c>
      <c r="H52" s="73"/>
      <c r="I52" s="73"/>
      <c r="J52" s="70">
        <f>+'INGRESO DE DATOS'!M74</f>
        <v>0</v>
      </c>
    </row>
    <row r="53" spans="1:12" ht="15" thickBot="1" x14ac:dyDescent="0.35">
      <c r="A53" s="81">
        <f>+'INGRESO DE DATOS'!K75</f>
        <v>0</v>
      </c>
      <c r="B53" s="39" t="str">
        <f t="shared" si="0"/>
        <v xml:space="preserve"> </v>
      </c>
      <c r="C53" s="121" t="str">
        <f>IF(G53&gt;1,'INGRESO DE DATOS'!$I$9," ")</f>
        <v xml:space="preserve"> </v>
      </c>
      <c r="D53" s="82"/>
      <c r="E53" s="83">
        <f>+'INGRESO DE DATOS'!L75</f>
        <v>0</v>
      </c>
      <c r="F53" s="84"/>
      <c r="G53" s="85">
        <f t="shared" si="1"/>
        <v>0</v>
      </c>
      <c r="H53" s="86"/>
      <c r="I53" s="86"/>
      <c r="J53" s="87">
        <f>+'INGRESO DE DATOS'!M75</f>
        <v>0</v>
      </c>
    </row>
    <row r="54" spans="1:12" ht="22.5" customHeight="1" thickBot="1" x14ac:dyDescent="0.35">
      <c r="A54" s="389" t="s">
        <v>14</v>
      </c>
      <c r="B54" s="390"/>
      <c r="C54" s="390"/>
      <c r="D54" s="391"/>
      <c r="E54" s="391"/>
      <c r="F54" s="392"/>
      <c r="G54" s="180">
        <f>SUM(G9:G53)</f>
        <v>0</v>
      </c>
      <c r="H54" s="180">
        <f>SUM(H9:H53)</f>
        <v>0</v>
      </c>
      <c r="I54" s="181">
        <f>SUM(I9:I53)</f>
        <v>0</v>
      </c>
      <c r="J54" s="182">
        <f>SUM(J9:J53)</f>
        <v>0</v>
      </c>
      <c r="K54" s="103"/>
      <c r="L54" s="2"/>
    </row>
    <row r="55" spans="1:12" ht="15" thickBot="1" x14ac:dyDescent="0.35">
      <c r="A55" s="397"/>
      <c r="B55" s="397"/>
      <c r="C55" s="397"/>
      <c r="D55" s="397"/>
      <c r="E55" s="397"/>
      <c r="F55" s="397"/>
      <c r="G55" s="397"/>
      <c r="H55" s="397"/>
      <c r="I55" s="398" t="s">
        <v>146</v>
      </c>
      <c r="J55" s="399"/>
      <c r="K55" s="129"/>
      <c r="L55" s="2"/>
    </row>
    <row r="56" spans="1:12" x14ac:dyDescent="0.3">
      <c r="A56" s="382" t="s">
        <v>215</v>
      </c>
      <c r="B56" s="382"/>
      <c r="C56" s="382"/>
      <c r="D56" s="382"/>
      <c r="E56" s="382"/>
      <c r="F56" s="382"/>
      <c r="G56" s="382"/>
      <c r="H56" s="382"/>
      <c r="I56" s="382"/>
      <c r="J56" s="382"/>
    </row>
    <row r="57" spans="1:12" x14ac:dyDescent="0.3">
      <c r="A57" s="382" t="s">
        <v>15</v>
      </c>
      <c r="B57" s="382"/>
      <c r="C57" s="382"/>
      <c r="D57" s="382"/>
      <c r="E57" s="382"/>
      <c r="F57" s="382"/>
      <c r="G57" s="382"/>
      <c r="H57" s="382"/>
      <c r="I57" s="382"/>
      <c r="J57" s="382"/>
    </row>
    <row r="58" spans="1:12" x14ac:dyDescent="0.3">
      <c r="A58" s="41" t="s">
        <v>216</v>
      </c>
      <c r="B58" s="41"/>
      <c r="C58" s="41"/>
      <c r="D58" s="41"/>
      <c r="E58" s="41"/>
      <c r="F58" s="41"/>
      <c r="G58" s="41"/>
      <c r="H58" s="41"/>
      <c r="I58" s="41"/>
      <c r="J58" s="41"/>
    </row>
    <row r="59" spans="1:12" x14ac:dyDescent="0.3">
      <c r="A59" s="42" t="s">
        <v>16</v>
      </c>
      <c r="B59" s="42"/>
      <c r="C59" s="42"/>
      <c r="D59" s="42"/>
      <c r="E59" s="42"/>
      <c r="F59" s="42"/>
      <c r="G59" s="42"/>
      <c r="H59" s="42"/>
      <c r="I59" s="42"/>
      <c r="J59" s="42"/>
    </row>
  </sheetData>
  <sheetProtection algorithmName="SHA-512" hashValue="XdwgaasoylQwE9UW8qlKEKfLL5bbIpFSeSYvJAHxlsxpXdlZoflUWl7keF+xn5NHaUxVW8wr57lL4QL13SdyWQ==" saltValue="2JdfIcqp7zgjuPYFN3jpKA==" spinCount="100000" sheet="1" formatCells="0" formatColumns="0" formatRows="0"/>
  <mergeCells count="13">
    <mergeCell ref="A57:J57"/>
    <mergeCell ref="A1:J1"/>
    <mergeCell ref="A2:J2"/>
    <mergeCell ref="A6:J6"/>
    <mergeCell ref="A7:J7"/>
    <mergeCell ref="A54:F54"/>
    <mergeCell ref="A56:J56"/>
    <mergeCell ref="B8:D8"/>
    <mergeCell ref="F3:I3"/>
    <mergeCell ref="F4:I4"/>
    <mergeCell ref="F5:H5"/>
    <mergeCell ref="A55:H55"/>
    <mergeCell ref="I55:J55"/>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8D6F1"/>
  </sheetPr>
  <dimension ref="A1:M29"/>
  <sheetViews>
    <sheetView showGridLines="0" showZeros="0" zoomScale="110" zoomScaleNormal="110" workbookViewId="0">
      <selection sqref="A1:J1"/>
    </sheetView>
  </sheetViews>
  <sheetFormatPr baseColWidth="10" defaultColWidth="11.5546875" defaultRowHeight="14.4" x14ac:dyDescent="0.3"/>
  <cols>
    <col min="1" max="1" width="2.6640625" style="1" customWidth="1"/>
    <col min="2" max="2" width="9" style="1" bestFit="1" customWidth="1"/>
    <col min="3" max="3" width="22.33203125" style="1" customWidth="1"/>
    <col min="4" max="4" width="9.6640625" style="1" customWidth="1"/>
    <col min="5" max="6" width="10.109375" style="1" bestFit="1" customWidth="1"/>
    <col min="7" max="7" width="10.6640625" style="1" customWidth="1"/>
    <col min="8" max="8" width="9.44140625" style="1" customWidth="1"/>
    <col min="9" max="9" width="10.109375" style="1" customWidth="1"/>
    <col min="10" max="10" width="13.109375" style="1" customWidth="1"/>
    <col min="11" max="11" width="11.5546875" style="1"/>
    <col min="12" max="12" width="12.109375" style="1" bestFit="1" customWidth="1"/>
    <col min="13" max="16384" width="11.5546875" style="1"/>
  </cols>
  <sheetData>
    <row r="1" spans="1:10" x14ac:dyDescent="0.3">
      <c r="A1" s="383"/>
      <c r="B1" s="383"/>
      <c r="C1" s="383"/>
      <c r="D1" s="383"/>
      <c r="E1" s="383"/>
      <c r="F1" s="383"/>
      <c r="G1" s="383"/>
      <c r="H1" s="383"/>
      <c r="I1" s="383"/>
      <c r="J1" s="383"/>
    </row>
    <row r="2" spans="1:10" ht="18" x14ac:dyDescent="0.35">
      <c r="A2" s="384" t="s">
        <v>212</v>
      </c>
      <c r="B2" s="384"/>
      <c r="C2" s="384"/>
      <c r="D2" s="384"/>
      <c r="E2" s="384"/>
      <c r="F2" s="384"/>
      <c r="G2" s="384"/>
      <c r="H2" s="384"/>
      <c r="I2" s="384"/>
      <c r="J2" s="405"/>
    </row>
    <row r="3" spans="1:10" x14ac:dyDescent="0.3">
      <c r="A3" s="183"/>
      <c r="B3" s="183"/>
      <c r="C3" s="231" t="s">
        <v>130</v>
      </c>
      <c r="D3" s="396">
        <f>'INGRESO DE DATOS'!E10</f>
        <v>0</v>
      </c>
      <c r="E3" s="396"/>
      <c r="F3" s="396"/>
      <c r="G3" s="396"/>
      <c r="H3" s="183"/>
      <c r="I3" s="183"/>
      <c r="J3" s="183"/>
    </row>
    <row r="4" spans="1:10" x14ac:dyDescent="0.3">
      <c r="A4" s="183"/>
      <c r="B4" s="183"/>
      <c r="C4" s="232" t="s">
        <v>129</v>
      </c>
      <c r="D4" s="348">
        <f>'INGRESO DE DATOS'!I8</f>
        <v>0</v>
      </c>
      <c r="E4" s="348"/>
      <c r="F4" s="348"/>
      <c r="G4" s="183"/>
      <c r="H4" s="183"/>
      <c r="I4" s="183"/>
      <c r="J4" s="183"/>
    </row>
    <row r="5" spans="1:10" x14ac:dyDescent="0.3">
      <c r="A5" s="183"/>
      <c r="B5" s="183"/>
      <c r="C5" s="232" t="s">
        <v>131</v>
      </c>
      <c r="D5" s="349">
        <f>'INGRESO DE DATOS'!I10</f>
        <v>0</v>
      </c>
      <c r="E5" s="349"/>
      <c r="F5" s="184"/>
      <c r="G5" s="183"/>
      <c r="H5" s="183"/>
      <c r="I5" s="183"/>
      <c r="J5" s="183"/>
    </row>
    <row r="6" spans="1:10" x14ac:dyDescent="0.3">
      <c r="A6" s="408"/>
      <c r="B6" s="408"/>
      <c r="C6" s="408"/>
      <c r="D6" s="408"/>
      <c r="E6" s="408"/>
      <c r="F6" s="408"/>
      <c r="G6" s="408"/>
      <c r="H6" s="408"/>
      <c r="I6" s="408"/>
      <c r="J6" s="408"/>
    </row>
    <row r="7" spans="1:10" ht="18" x14ac:dyDescent="0.35">
      <c r="A7" s="400" t="s">
        <v>17</v>
      </c>
      <c r="B7" s="400"/>
      <c r="C7" s="400"/>
      <c r="D7" s="400"/>
      <c r="E7" s="400"/>
      <c r="F7" s="400"/>
      <c r="G7" s="400"/>
      <c r="H7" s="400"/>
      <c r="I7" s="400"/>
      <c r="J7" s="400"/>
    </row>
    <row r="8" spans="1:10" ht="30.6" x14ac:dyDescent="0.3">
      <c r="A8" s="171" t="s">
        <v>18</v>
      </c>
      <c r="B8" s="171" t="s">
        <v>1</v>
      </c>
      <c r="C8" s="171" t="s">
        <v>7</v>
      </c>
      <c r="D8" s="171" t="s">
        <v>125</v>
      </c>
      <c r="E8" s="171" t="s">
        <v>81</v>
      </c>
      <c r="F8" s="171" t="s">
        <v>19</v>
      </c>
      <c r="G8" s="171" t="s">
        <v>20</v>
      </c>
      <c r="H8" s="171" t="s">
        <v>21</v>
      </c>
      <c r="I8" s="171" t="s">
        <v>22</v>
      </c>
      <c r="J8" s="172" t="s">
        <v>23</v>
      </c>
    </row>
    <row r="9" spans="1:10" x14ac:dyDescent="0.3">
      <c r="A9" s="92">
        <v>1</v>
      </c>
      <c r="B9" s="74"/>
      <c r="C9" s="89" t="s">
        <v>134</v>
      </c>
      <c r="D9" s="90">
        <f>'1006-Ingresos'!I464</f>
        <v>0</v>
      </c>
      <c r="E9" s="90">
        <f>'1006-Ingresos'!H464</f>
        <v>0</v>
      </c>
      <c r="F9" s="90"/>
      <c r="G9" s="91">
        <f>SUM(D9+E9+F9)</f>
        <v>0</v>
      </c>
      <c r="H9" s="123">
        <f>COUNTIF('1006-Ingresos'!H11:H463,"&gt;1")</f>
        <v>0</v>
      </c>
      <c r="I9" s="93" t="e">
        <f>G9/H9</f>
        <v>#DIV/0!</v>
      </c>
      <c r="J9" s="94"/>
    </row>
    <row r="10" spans="1:10" x14ac:dyDescent="0.3">
      <c r="A10" s="92">
        <v>2</v>
      </c>
      <c r="B10" s="74"/>
      <c r="C10" s="89" t="str">
        <f>'INGRESO DE DATOS'!L31</f>
        <v>OBOLO</v>
      </c>
      <c r="D10" s="90"/>
      <c r="E10" s="90"/>
      <c r="F10" s="90">
        <f>'INGRESO DE DATOS'!M31</f>
        <v>0</v>
      </c>
      <c r="G10" s="91">
        <f t="shared" ref="G10:G25" si="0">SUM(D10+E10+F10)</f>
        <v>0</v>
      </c>
      <c r="H10" s="123"/>
      <c r="I10" s="93"/>
      <c r="J10" s="94"/>
    </row>
    <row r="11" spans="1:10" x14ac:dyDescent="0.3">
      <c r="A11" s="92">
        <v>3</v>
      </c>
      <c r="B11" s="74"/>
      <c r="C11" s="89">
        <f>'INGRESO DE DATOS'!L32</f>
        <v>0</v>
      </c>
      <c r="D11" s="90"/>
      <c r="E11" s="90"/>
      <c r="F11" s="90">
        <f>'INGRESO DE DATOS'!M32</f>
        <v>0</v>
      </c>
      <c r="G11" s="91">
        <f t="shared" si="0"/>
        <v>0</v>
      </c>
      <c r="H11" s="123"/>
      <c r="I11" s="93"/>
      <c r="J11" s="94"/>
    </row>
    <row r="12" spans="1:10" x14ac:dyDescent="0.3">
      <c r="A12" s="92">
        <v>4</v>
      </c>
      <c r="B12" s="74"/>
      <c r="C12" s="89">
        <f>'INGRESO DE DATOS'!L33</f>
        <v>0</v>
      </c>
      <c r="D12" s="90"/>
      <c r="E12" s="90"/>
      <c r="F12" s="90">
        <f>'INGRESO DE DATOS'!M33</f>
        <v>0</v>
      </c>
      <c r="G12" s="91">
        <f t="shared" si="0"/>
        <v>0</v>
      </c>
      <c r="H12" s="123"/>
      <c r="I12" s="93"/>
      <c r="J12" s="94"/>
    </row>
    <row r="13" spans="1:10" x14ac:dyDescent="0.3">
      <c r="A13" s="92">
        <v>5</v>
      </c>
      <c r="B13" s="74"/>
      <c r="C13" s="89">
        <f>'INGRESO DE DATOS'!L34</f>
        <v>0</v>
      </c>
      <c r="D13" s="90"/>
      <c r="E13" s="90"/>
      <c r="F13" s="90">
        <f>'INGRESO DE DATOS'!M34</f>
        <v>0</v>
      </c>
      <c r="G13" s="91">
        <f t="shared" si="0"/>
        <v>0</v>
      </c>
      <c r="H13" s="123"/>
      <c r="I13" s="93"/>
      <c r="J13" s="94"/>
    </row>
    <row r="14" spans="1:10" x14ac:dyDescent="0.3">
      <c r="A14" s="92">
        <v>6</v>
      </c>
      <c r="B14" s="74"/>
      <c r="C14" s="89">
        <f>'INGRESO DE DATOS'!L35</f>
        <v>0</v>
      </c>
      <c r="D14" s="90"/>
      <c r="E14" s="90"/>
      <c r="F14" s="90">
        <f>'INGRESO DE DATOS'!M35</f>
        <v>0</v>
      </c>
      <c r="G14" s="91">
        <f t="shared" si="0"/>
        <v>0</v>
      </c>
      <c r="H14" s="123"/>
      <c r="I14" s="93"/>
      <c r="J14" s="94"/>
    </row>
    <row r="15" spans="1:10" x14ac:dyDescent="0.3">
      <c r="A15" s="92">
        <v>7</v>
      </c>
      <c r="B15" s="74"/>
      <c r="C15" s="89">
        <f>'INGRESO DE DATOS'!L36</f>
        <v>0</v>
      </c>
      <c r="D15" s="90"/>
      <c r="E15" s="90"/>
      <c r="F15" s="90">
        <f>'INGRESO DE DATOS'!M36</f>
        <v>0</v>
      </c>
      <c r="G15" s="91">
        <f t="shared" si="0"/>
        <v>0</v>
      </c>
      <c r="H15" s="123"/>
      <c r="I15" s="93"/>
      <c r="J15" s="94"/>
    </row>
    <row r="16" spans="1:10" x14ac:dyDescent="0.3">
      <c r="A16" s="92">
        <v>8</v>
      </c>
      <c r="B16" s="74"/>
      <c r="C16" s="89">
        <f>'INGRESO DE DATOS'!L37</f>
        <v>0</v>
      </c>
      <c r="D16" s="90"/>
      <c r="E16" s="90"/>
      <c r="F16" s="90">
        <f>'INGRESO DE DATOS'!M37</f>
        <v>0</v>
      </c>
      <c r="G16" s="91">
        <f t="shared" si="0"/>
        <v>0</v>
      </c>
      <c r="H16" s="123"/>
      <c r="I16" s="93"/>
      <c r="J16" s="94"/>
    </row>
    <row r="17" spans="1:13" x14ac:dyDescent="0.3">
      <c r="A17" s="92">
        <v>9</v>
      </c>
      <c r="B17" s="74"/>
      <c r="C17" s="89">
        <f>'INGRESO DE DATOS'!L38</f>
        <v>0</v>
      </c>
      <c r="D17" s="90"/>
      <c r="E17" s="90"/>
      <c r="F17" s="90">
        <f>'INGRESO DE DATOS'!M38</f>
        <v>0</v>
      </c>
      <c r="G17" s="91">
        <f t="shared" si="0"/>
        <v>0</v>
      </c>
      <c r="H17" s="123"/>
      <c r="I17" s="93"/>
      <c r="J17" s="94"/>
    </row>
    <row r="18" spans="1:13" x14ac:dyDescent="0.3">
      <c r="A18" s="92">
        <v>10</v>
      </c>
      <c r="B18" s="74"/>
      <c r="C18" s="89">
        <f>'INGRESO DE DATOS'!L39</f>
        <v>0</v>
      </c>
      <c r="D18" s="90"/>
      <c r="E18" s="90"/>
      <c r="F18" s="90">
        <f>'INGRESO DE DATOS'!M39</f>
        <v>0</v>
      </c>
      <c r="G18" s="91">
        <f t="shared" si="0"/>
        <v>0</v>
      </c>
      <c r="H18" s="123"/>
      <c r="I18" s="93"/>
      <c r="J18" s="94"/>
    </row>
    <row r="19" spans="1:13" x14ac:dyDescent="0.3">
      <c r="A19" s="92">
        <v>11</v>
      </c>
      <c r="B19" s="74"/>
      <c r="C19" s="89">
        <f>'INGRESO DE DATOS'!L40</f>
        <v>0</v>
      </c>
      <c r="D19" s="90"/>
      <c r="E19" s="90"/>
      <c r="F19" s="90">
        <f>'INGRESO DE DATOS'!M40</f>
        <v>0</v>
      </c>
      <c r="G19" s="91">
        <f t="shared" si="0"/>
        <v>0</v>
      </c>
      <c r="H19" s="123"/>
      <c r="I19" s="93"/>
      <c r="J19" s="94"/>
    </row>
    <row r="20" spans="1:13" ht="14.25" customHeight="1" x14ac:dyDescent="0.3">
      <c r="A20" s="92">
        <v>12</v>
      </c>
      <c r="B20" s="74"/>
      <c r="C20" s="89">
        <f>+'1007 - Egresos'!E23</f>
        <v>0</v>
      </c>
      <c r="D20" s="90"/>
      <c r="E20" s="90"/>
      <c r="F20" s="71">
        <f>+'1007 - Egresos'!J23</f>
        <v>0</v>
      </c>
      <c r="G20" s="91">
        <f t="shared" si="0"/>
        <v>0</v>
      </c>
      <c r="H20" s="92"/>
      <c r="I20" s="93"/>
      <c r="J20" s="94"/>
    </row>
    <row r="21" spans="1:13" ht="14.25" customHeight="1" x14ac:dyDescent="0.3">
      <c r="A21" s="92">
        <v>13</v>
      </c>
      <c r="B21" s="88"/>
      <c r="C21" s="89">
        <f>+'1007 - Egresos'!E24</f>
        <v>0</v>
      </c>
      <c r="D21" s="90"/>
      <c r="E21" s="90"/>
      <c r="F21" s="71">
        <f>+'1007 - Egresos'!J24</f>
        <v>0</v>
      </c>
      <c r="G21" s="91">
        <f t="shared" si="0"/>
        <v>0</v>
      </c>
      <c r="H21" s="92"/>
      <c r="I21" s="93"/>
      <c r="J21" s="94"/>
    </row>
    <row r="22" spans="1:13" ht="14.25" customHeight="1" x14ac:dyDescent="0.3">
      <c r="A22" s="92">
        <v>14</v>
      </c>
      <c r="B22" s="74"/>
      <c r="C22" s="89">
        <f>'INGRESO DE DATOS'!L43</f>
        <v>0</v>
      </c>
      <c r="D22" s="90"/>
      <c r="E22" s="90"/>
      <c r="F22" s="71">
        <f>+'1007 - Egresos'!J25</f>
        <v>0</v>
      </c>
      <c r="G22" s="91">
        <f t="shared" si="0"/>
        <v>0</v>
      </c>
      <c r="H22" s="92"/>
      <c r="I22" s="93"/>
      <c r="J22" s="94"/>
    </row>
    <row r="23" spans="1:13" ht="14.25" customHeight="1" x14ac:dyDescent="0.3">
      <c r="A23" s="92">
        <v>15</v>
      </c>
      <c r="B23" s="88">
        <f>+'INGRESO DE DATOS'!K44</f>
        <v>0</v>
      </c>
      <c r="C23" s="89">
        <f>+'1007 - Egresos'!E26</f>
        <v>0</v>
      </c>
      <c r="D23" s="90"/>
      <c r="E23" s="90"/>
      <c r="F23" s="71">
        <f>+'1007 - Egresos'!J26</f>
        <v>0</v>
      </c>
      <c r="G23" s="91">
        <f t="shared" si="0"/>
        <v>0</v>
      </c>
      <c r="H23" s="92"/>
      <c r="I23" s="93"/>
      <c r="J23" s="94"/>
      <c r="L23" s="44"/>
    </row>
    <row r="24" spans="1:13" x14ac:dyDescent="0.3">
      <c r="A24" s="92">
        <v>16</v>
      </c>
      <c r="B24" s="88">
        <f>+'INGRESO DE DATOS'!K45</f>
        <v>0</v>
      </c>
      <c r="C24" s="89">
        <f>+'1007 - Egresos'!E27</f>
        <v>0</v>
      </c>
      <c r="D24" s="90"/>
      <c r="E24" s="90"/>
      <c r="F24" s="71">
        <f>+'1007 - Egresos'!J27</f>
        <v>0</v>
      </c>
      <c r="G24" s="91">
        <f t="shared" si="0"/>
        <v>0</v>
      </c>
      <c r="H24" s="92"/>
      <c r="I24" s="93"/>
      <c r="J24" s="94"/>
      <c r="M24" s="3"/>
    </row>
    <row r="25" spans="1:13" ht="15" thickBot="1" x14ac:dyDescent="0.35">
      <c r="A25" s="92">
        <v>17</v>
      </c>
      <c r="B25" s="96">
        <f>+'INGRESO DE DATOS'!K46</f>
        <v>0</v>
      </c>
      <c r="C25" s="97">
        <f>+'INGRESO DE DATOS'!L46</f>
        <v>0</v>
      </c>
      <c r="D25" s="98"/>
      <c r="E25" s="98"/>
      <c r="F25" s="99">
        <f>+'INGRESO DE DATOS'!M46</f>
        <v>0</v>
      </c>
      <c r="G25" s="91">
        <f t="shared" si="0"/>
        <v>0</v>
      </c>
      <c r="H25" s="95"/>
      <c r="I25" s="100"/>
      <c r="J25" s="101"/>
      <c r="M25" s="3"/>
    </row>
    <row r="26" spans="1:13" ht="15.75" customHeight="1" thickBot="1" x14ac:dyDescent="0.35">
      <c r="A26" s="406" t="s">
        <v>9</v>
      </c>
      <c r="B26" s="407"/>
      <c r="C26" s="407"/>
      <c r="D26" s="173">
        <f>SUM(D9:D24)</f>
        <v>0</v>
      </c>
      <c r="E26" s="173">
        <f>SUM(E9:E24)</f>
        <v>0</v>
      </c>
      <c r="F26" s="173">
        <f>SUM(F9:F24)</f>
        <v>0</v>
      </c>
      <c r="G26" s="174">
        <f>SUM(G9:G25)</f>
        <v>0</v>
      </c>
      <c r="H26" s="175"/>
      <c r="I26" s="176"/>
      <c r="J26" s="177"/>
    </row>
    <row r="27" spans="1:13" ht="15" thickBot="1" x14ac:dyDescent="0.35">
      <c r="A27" s="401"/>
      <c r="B27" s="401"/>
      <c r="C27" s="401"/>
      <c r="D27" s="401"/>
      <c r="E27" s="401"/>
      <c r="F27" s="401"/>
      <c r="G27" s="401"/>
      <c r="H27" s="4"/>
      <c r="I27" s="402" t="s">
        <v>24</v>
      </c>
      <c r="J27" s="403"/>
      <c r="L27" s="3"/>
    </row>
    <row r="28" spans="1:13" x14ac:dyDescent="0.3">
      <c r="A28" s="404"/>
      <c r="B28" s="404"/>
      <c r="C28" s="404"/>
      <c r="D28" s="404"/>
      <c r="E28" s="404"/>
      <c r="F28" s="404"/>
      <c r="G28" s="404"/>
      <c r="H28" s="404"/>
      <c r="I28" s="404"/>
      <c r="J28" s="404"/>
    </row>
    <row r="29" spans="1:13" x14ac:dyDescent="0.3">
      <c r="A29" s="32"/>
      <c r="B29" s="32"/>
      <c r="C29" s="32"/>
      <c r="D29" s="32"/>
      <c r="E29" s="32"/>
      <c r="F29" s="32"/>
      <c r="G29" s="32"/>
      <c r="H29" s="32"/>
      <c r="I29" s="32"/>
      <c r="J29" s="32"/>
    </row>
  </sheetData>
  <sheetProtection algorithmName="SHA-512" hashValue="G85+POC4mCZi2NYijdF7VyLqaTg7EaUlneZ5K1le8m5zY2cIXka3jGWIFX0QwyLvtkv3bMSyiDsAGAb4CNEdqg==" saltValue="4oWNYkyD2zAXdqBJuevs3Q==" spinCount="100000" sheet="1" formatCells="0" formatColumns="0" formatRows="0"/>
  <mergeCells count="11">
    <mergeCell ref="A7:J7"/>
    <mergeCell ref="A27:G27"/>
    <mergeCell ref="I27:J27"/>
    <mergeCell ref="A28:J28"/>
    <mergeCell ref="A1:J1"/>
    <mergeCell ref="A2:J2"/>
    <mergeCell ref="A26:C26"/>
    <mergeCell ref="A6:J6"/>
    <mergeCell ref="D4:F4"/>
    <mergeCell ref="D5:E5"/>
    <mergeCell ref="D3:G3"/>
  </mergeCells>
  <pageMargins left="0.25" right="0.25" top="0.75" bottom="0.75" header="0.3" footer="0.3"/>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AAF6CC"/>
  </sheetPr>
  <dimension ref="A1:G112"/>
  <sheetViews>
    <sheetView showGridLines="0" showZeros="0" tabSelected="1" zoomScale="80" zoomScaleNormal="80" workbookViewId="0">
      <selection activeCell="G89" sqref="G89"/>
    </sheetView>
  </sheetViews>
  <sheetFormatPr baseColWidth="10" defaultColWidth="11.44140625" defaultRowHeight="14.4" x14ac:dyDescent="0.3"/>
  <cols>
    <col min="1" max="1" width="50.6640625" style="3" customWidth="1"/>
    <col min="2" max="2" width="12.6640625" style="3" customWidth="1"/>
    <col min="3" max="3" width="17" style="3" customWidth="1"/>
    <col min="4" max="4" width="14.109375" style="3" customWidth="1"/>
    <col min="5" max="5" width="15.109375" style="3" customWidth="1"/>
    <col min="6" max="6" width="11.44140625" style="3" customWidth="1"/>
    <col min="7" max="7" width="14.6640625" style="3" customWidth="1"/>
    <col min="8" max="8" width="11.44140625" style="3" customWidth="1"/>
    <col min="9" max="9" width="12.5546875" style="3" customWidth="1"/>
    <col min="10" max="10" width="16.33203125" style="3" customWidth="1"/>
    <col min="11" max="11" width="21.5546875" style="3" customWidth="1"/>
    <col min="12" max="16384" width="11.44140625" style="3"/>
  </cols>
  <sheetData>
    <row r="1" spans="1:5" x14ac:dyDescent="0.3">
      <c r="A1" s="409"/>
      <c r="B1" s="409"/>
      <c r="C1" s="409"/>
      <c r="D1" s="409"/>
      <c r="E1" s="409"/>
    </row>
    <row r="2" spans="1:5" ht="18" x14ac:dyDescent="0.35">
      <c r="A2" s="412" t="s">
        <v>213</v>
      </c>
      <c r="B2" s="412"/>
      <c r="C2" s="412"/>
      <c r="D2" s="412"/>
      <c r="E2" s="412"/>
    </row>
    <row r="3" spans="1:5" x14ac:dyDescent="0.3">
      <c r="A3" s="231" t="s">
        <v>130</v>
      </c>
      <c r="B3" s="414">
        <f>'INGRESO DE DATOS'!E10</f>
        <v>0</v>
      </c>
      <c r="C3" s="414"/>
      <c r="D3" s="414"/>
      <c r="E3" s="414"/>
    </row>
    <row r="4" spans="1:5" x14ac:dyDescent="0.3">
      <c r="A4" s="232" t="s">
        <v>129</v>
      </c>
      <c r="B4" s="348">
        <f>'INGRESO DE DATOS'!I8</f>
        <v>0</v>
      </c>
      <c r="C4" s="348"/>
      <c r="D4" s="348"/>
      <c r="E4" s="348"/>
    </row>
    <row r="5" spans="1:5" x14ac:dyDescent="0.3">
      <c r="A5" s="232" t="s">
        <v>131</v>
      </c>
      <c r="B5" s="349">
        <f>'INGRESO DE DATOS'!I10</f>
        <v>0</v>
      </c>
      <c r="C5" s="349"/>
      <c r="D5" s="349"/>
      <c r="E5" s="184"/>
    </row>
    <row r="6" spans="1:5" ht="18.75" customHeight="1" x14ac:dyDescent="0.3">
      <c r="A6" s="413" t="s">
        <v>25</v>
      </c>
      <c r="B6" s="413"/>
      <c r="C6" s="413"/>
      <c r="D6" s="413"/>
      <c r="E6" s="413"/>
    </row>
    <row r="7" spans="1:5" x14ac:dyDescent="0.3">
      <c r="A7" s="413"/>
      <c r="B7" s="413"/>
      <c r="C7" s="413"/>
      <c r="D7" s="413"/>
      <c r="E7" s="413"/>
    </row>
    <row r="8" spans="1:5" x14ac:dyDescent="0.3">
      <c r="C8" s="5"/>
      <c r="D8" s="6"/>
    </row>
    <row r="9" spans="1:5" ht="20.25" customHeight="1" x14ac:dyDescent="0.3">
      <c r="A9" s="12" t="s">
        <v>26</v>
      </c>
      <c r="B9" s="7"/>
      <c r="C9" s="5"/>
      <c r="D9" s="5"/>
    </row>
    <row r="10" spans="1:5" x14ac:dyDescent="0.3">
      <c r="A10" s="131" t="s">
        <v>147</v>
      </c>
      <c r="B10" s="151"/>
      <c r="C10" s="130" t="s">
        <v>150</v>
      </c>
      <c r="D10" s="156"/>
    </row>
    <row r="11" spans="1:5" ht="15" thickBot="1" x14ac:dyDescent="0.35">
      <c r="A11" s="8"/>
      <c r="C11" s="5"/>
      <c r="D11" s="5"/>
    </row>
    <row r="12" spans="1:5" s="9" customFormat="1" ht="16.2" thickBot="1" x14ac:dyDescent="0.35">
      <c r="A12" s="415" t="s">
        <v>217</v>
      </c>
      <c r="B12" s="415"/>
      <c r="C12" s="416"/>
      <c r="D12" s="417"/>
    </row>
    <row r="13" spans="1:5" x14ac:dyDescent="0.3">
      <c r="A13" s="23" t="s">
        <v>127</v>
      </c>
      <c r="B13" s="24"/>
      <c r="C13" s="67">
        <f>'1007 - Egresos'!H9</f>
        <v>0</v>
      </c>
      <c r="D13" s="418"/>
    </row>
    <row r="14" spans="1:5" x14ac:dyDescent="0.3">
      <c r="A14" s="23" t="s">
        <v>27</v>
      </c>
      <c r="B14" s="24"/>
      <c r="C14" s="67">
        <f>'1007 - Egresos'!I9</f>
        <v>0</v>
      </c>
      <c r="D14" s="418"/>
    </row>
    <row r="15" spans="1:5" x14ac:dyDescent="0.3">
      <c r="A15" s="23" t="s">
        <v>28</v>
      </c>
      <c r="B15" s="24"/>
      <c r="C15" s="67">
        <f>'1006-Ingresos'!J464</f>
        <v>0</v>
      </c>
      <c r="D15" s="418"/>
    </row>
    <row r="16" spans="1:5" x14ac:dyDescent="0.3">
      <c r="A16" s="23" t="s">
        <v>120</v>
      </c>
      <c r="B16" s="24"/>
      <c r="C16" s="67">
        <f>'1006-Ingresos'!G461</f>
        <v>0</v>
      </c>
      <c r="D16" s="418"/>
    </row>
    <row r="17" spans="1:5" x14ac:dyDescent="0.3">
      <c r="A17" s="23" t="str">
        <f>+'INGRESO DE DATOS'!H22</f>
        <v>OBOLO</v>
      </c>
      <c r="B17" s="24"/>
      <c r="C17" s="67">
        <f>+'INGRESO DE DATOS'!I22</f>
        <v>0</v>
      </c>
      <c r="D17" s="418"/>
    </row>
    <row r="18" spans="1:5" x14ac:dyDescent="0.3">
      <c r="A18" s="23">
        <f>+'INGRESO DE DATOS'!H23</f>
        <v>0</v>
      </c>
      <c r="B18" s="24"/>
      <c r="C18" s="67">
        <f>+'INGRESO DE DATOS'!I23</f>
        <v>0</v>
      </c>
      <c r="D18" s="418"/>
    </row>
    <row r="19" spans="1:5" x14ac:dyDescent="0.3">
      <c r="A19" s="23">
        <f>+'INGRESO DE DATOS'!H24</f>
        <v>0</v>
      </c>
      <c r="B19" s="24"/>
      <c r="C19" s="67">
        <f>+'INGRESO DE DATOS'!I24</f>
        <v>0</v>
      </c>
      <c r="D19" s="418"/>
    </row>
    <row r="20" spans="1:5" x14ac:dyDescent="0.3">
      <c r="A20" s="23">
        <f>+'INGRESO DE DATOS'!H25</f>
        <v>0</v>
      </c>
      <c r="B20" s="24"/>
      <c r="C20" s="67">
        <f>+'INGRESO DE DATOS'!I25</f>
        <v>0</v>
      </c>
      <c r="D20" s="418"/>
    </row>
    <row r="21" spans="1:5" x14ac:dyDescent="0.3">
      <c r="A21" s="23">
        <f>'INGRESO DE DATOS'!H26</f>
        <v>0</v>
      </c>
      <c r="B21" s="24"/>
      <c r="C21" s="67">
        <f>'INGRESO DE DATOS'!I26</f>
        <v>0</v>
      </c>
      <c r="D21" s="418"/>
    </row>
    <row r="22" spans="1:5" x14ac:dyDescent="0.3">
      <c r="A22" s="23">
        <f>'INGRESO DE DATOS'!H27</f>
        <v>0</v>
      </c>
      <c r="B22" s="24"/>
      <c r="C22" s="67">
        <f>'INGRESO DE DATOS'!I27</f>
        <v>0</v>
      </c>
      <c r="D22" s="418"/>
    </row>
    <row r="23" spans="1:5" x14ac:dyDescent="0.3">
      <c r="A23" s="23">
        <f>'INGRESO DE DATOS'!H28</f>
        <v>0</v>
      </c>
      <c r="B23" s="24"/>
      <c r="C23" s="67">
        <f>'INGRESO DE DATOS'!I28</f>
        <v>0</v>
      </c>
      <c r="D23" s="418"/>
    </row>
    <row r="24" spans="1:5" hidden="1" x14ac:dyDescent="0.3">
      <c r="A24" s="23">
        <f>'INGRESO DE DATOS'!H29</f>
        <v>0</v>
      </c>
      <c r="B24" s="24"/>
      <c r="C24" s="67">
        <f>'INGRESO DE DATOS'!I29</f>
        <v>0</v>
      </c>
      <c r="D24" s="418"/>
    </row>
    <row r="25" spans="1:5" hidden="1" x14ac:dyDescent="0.3">
      <c r="A25" s="23">
        <f>'INGRESO DE DATOS'!H30</f>
        <v>0</v>
      </c>
      <c r="B25" s="24"/>
      <c r="C25" s="67">
        <f>'INGRESO DE DATOS'!I30</f>
        <v>0</v>
      </c>
      <c r="D25" s="418"/>
    </row>
    <row r="26" spans="1:5" ht="15.75" hidden="1" customHeight="1" x14ac:dyDescent="0.3">
      <c r="A26" s="23">
        <f>'INGRESO DE DATOS'!H31</f>
        <v>0</v>
      </c>
      <c r="B26" s="24"/>
      <c r="C26" s="67">
        <f>'INGRESO DE DATOS'!I31</f>
        <v>0</v>
      </c>
      <c r="D26" s="418"/>
      <c r="E26" s="11"/>
    </row>
    <row r="27" spans="1:5" ht="15.75" hidden="1" customHeight="1" x14ac:dyDescent="0.3">
      <c r="A27" s="23">
        <f>'INGRESO DE DATOS'!H32</f>
        <v>0</v>
      </c>
      <c r="B27" s="24"/>
      <c r="C27" s="67">
        <f>'INGRESO DE DATOS'!I32</f>
        <v>0</v>
      </c>
      <c r="D27" s="418"/>
      <c r="E27" s="11"/>
    </row>
    <row r="28" spans="1:5" ht="15.75" hidden="1" customHeight="1" x14ac:dyDescent="0.3">
      <c r="A28" s="23">
        <f>'INGRESO DE DATOS'!H33</f>
        <v>0</v>
      </c>
      <c r="B28" s="24"/>
      <c r="C28" s="67">
        <f>'INGRESO DE DATOS'!I33</f>
        <v>0</v>
      </c>
      <c r="D28" s="418"/>
      <c r="E28" s="11"/>
    </row>
    <row r="29" spans="1:5" ht="15.75" hidden="1" customHeight="1" x14ac:dyDescent="0.3">
      <c r="A29" s="23">
        <f>'INGRESO DE DATOS'!H34</f>
        <v>0</v>
      </c>
      <c r="B29" s="24"/>
      <c r="C29" s="67">
        <f>'INGRESO DE DATOS'!I34</f>
        <v>0</v>
      </c>
      <c r="D29" s="418"/>
      <c r="E29" s="11"/>
    </row>
    <row r="30" spans="1:5" ht="15.75" hidden="1" customHeight="1" x14ac:dyDescent="0.3">
      <c r="A30" s="23">
        <f>'INGRESO DE DATOS'!H35</f>
        <v>0</v>
      </c>
      <c r="B30" s="24"/>
      <c r="C30" s="67">
        <f>'INGRESO DE DATOS'!I35</f>
        <v>0</v>
      </c>
      <c r="D30" s="418"/>
      <c r="E30" s="11"/>
    </row>
    <row r="31" spans="1:5" ht="15.75" hidden="1" customHeight="1" x14ac:dyDescent="0.3">
      <c r="A31" s="23">
        <f>'INGRESO DE DATOS'!H36</f>
        <v>0</v>
      </c>
      <c r="B31" s="24"/>
      <c r="C31" s="67">
        <f>'INGRESO DE DATOS'!I36</f>
        <v>0</v>
      </c>
      <c r="D31" s="418"/>
      <c r="E31" s="11"/>
    </row>
    <row r="32" spans="1:5" ht="15.75" customHeight="1" x14ac:dyDescent="0.3">
      <c r="A32" s="23"/>
      <c r="B32" s="24"/>
      <c r="C32" s="67"/>
      <c r="D32" s="418"/>
      <c r="E32" s="11"/>
    </row>
    <row r="33" spans="1:5" ht="15.75" customHeight="1" x14ac:dyDescent="0.3">
      <c r="A33" s="24"/>
      <c r="B33" s="24"/>
      <c r="C33" s="24"/>
      <c r="D33" s="418"/>
      <c r="E33" s="11"/>
    </row>
    <row r="34" spans="1:5" ht="15.6" x14ac:dyDescent="0.3">
      <c r="A34" s="50" t="s">
        <v>37</v>
      </c>
      <c r="B34" s="51"/>
      <c r="C34" s="52">
        <f>SUM(C13:C33)</f>
        <v>0</v>
      </c>
      <c r="D34" s="418"/>
      <c r="E34" s="11"/>
    </row>
    <row r="35" spans="1:5" x14ac:dyDescent="0.3">
      <c r="E35" s="11"/>
    </row>
    <row r="36" spans="1:5" ht="20.25" customHeight="1" x14ac:dyDescent="0.3">
      <c r="A36" s="12" t="s">
        <v>29</v>
      </c>
      <c r="B36" s="7"/>
      <c r="C36" s="13"/>
      <c r="D36" s="13"/>
    </row>
    <row r="37" spans="1:5" x14ac:dyDescent="0.3">
      <c r="A37" s="14" t="s">
        <v>148</v>
      </c>
      <c r="B37" s="151"/>
      <c r="C37" s="13" t="s">
        <v>149</v>
      </c>
      <c r="D37" s="157"/>
    </row>
    <row r="38" spans="1:5" x14ac:dyDescent="0.3">
      <c r="A38" s="14"/>
      <c r="C38" s="13"/>
      <c r="D38" s="13"/>
    </row>
    <row r="39" spans="1:5" x14ac:dyDescent="0.3">
      <c r="A39" s="23" t="s">
        <v>127</v>
      </c>
      <c r="B39" s="24"/>
      <c r="C39" s="24"/>
      <c r="D39" s="67">
        <f>C13</f>
        <v>0</v>
      </c>
    </row>
    <row r="40" spans="1:5" x14ac:dyDescent="0.3">
      <c r="A40" s="23" t="s">
        <v>27</v>
      </c>
      <c r="B40" s="24"/>
      <c r="C40" s="24"/>
      <c r="D40" s="67">
        <f>C14</f>
        <v>0</v>
      </c>
    </row>
    <row r="41" spans="1:5" x14ac:dyDescent="0.3">
      <c r="A41" s="23" t="str">
        <f>'INGRESO DE DATOS'!L27</f>
        <v>Arriendo/ Pago cuota Lumisial</v>
      </c>
      <c r="B41" s="24"/>
      <c r="C41" s="24"/>
      <c r="D41" s="67">
        <f>+'INGRESO DE DATOS'!M27</f>
        <v>0</v>
      </c>
    </row>
    <row r="42" spans="1:5" x14ac:dyDescent="0.3">
      <c r="A42" s="23" t="s">
        <v>70</v>
      </c>
      <c r="B42" s="24"/>
      <c r="C42" s="24"/>
      <c r="D42" s="67">
        <f>+'1007 - Egresos'!G10</f>
        <v>0</v>
      </c>
    </row>
    <row r="43" spans="1:5" x14ac:dyDescent="0.3">
      <c r="A43" s="23" t="s">
        <v>71</v>
      </c>
      <c r="B43" s="24"/>
      <c r="C43" s="24"/>
      <c r="D43" s="67">
        <f>+'1007 - Egresos'!G11</f>
        <v>0</v>
      </c>
    </row>
    <row r="44" spans="1:5" x14ac:dyDescent="0.3">
      <c r="A44" s="23">
        <f>'INGRESO DE DATOS'!L30</f>
        <v>0</v>
      </c>
      <c r="B44" s="24"/>
      <c r="C44" s="24"/>
      <c r="D44" s="67">
        <f>'INGRESO DE DATOS'!M30</f>
        <v>0</v>
      </c>
    </row>
    <row r="45" spans="1:5" x14ac:dyDescent="0.3">
      <c r="A45" s="23" t="str">
        <f>'INGRESO DE DATOS'!L31</f>
        <v>OBOLO</v>
      </c>
      <c r="B45" s="24"/>
      <c r="C45" s="24"/>
      <c r="D45" s="67">
        <f>'INGRESO DE DATOS'!M31</f>
        <v>0</v>
      </c>
    </row>
    <row r="46" spans="1:5" x14ac:dyDescent="0.3">
      <c r="A46" s="23">
        <f>'INGRESO DE DATOS'!L32</f>
        <v>0</v>
      </c>
      <c r="B46" s="24"/>
      <c r="C46" s="24"/>
      <c r="D46" s="67">
        <f>'INGRESO DE DATOS'!M32</f>
        <v>0</v>
      </c>
    </row>
    <row r="47" spans="1:5" x14ac:dyDescent="0.3">
      <c r="A47" s="23">
        <f>'INGRESO DE DATOS'!L33</f>
        <v>0</v>
      </c>
      <c r="B47" s="24"/>
      <c r="C47" s="24"/>
      <c r="D47" s="67">
        <f>'INGRESO DE DATOS'!M33</f>
        <v>0</v>
      </c>
    </row>
    <row r="48" spans="1:5" x14ac:dyDescent="0.3">
      <c r="A48" s="23">
        <f>'INGRESO DE DATOS'!L34</f>
        <v>0</v>
      </c>
      <c r="B48" s="24"/>
      <c r="C48" s="24"/>
      <c r="D48" s="67">
        <f>'INGRESO DE DATOS'!M34</f>
        <v>0</v>
      </c>
    </row>
    <row r="49" spans="1:4" x14ac:dyDescent="0.3">
      <c r="A49" s="23">
        <f>'INGRESO DE DATOS'!L35</f>
        <v>0</v>
      </c>
      <c r="D49" s="67">
        <f>'INGRESO DE DATOS'!M35</f>
        <v>0</v>
      </c>
    </row>
    <row r="50" spans="1:4" x14ac:dyDescent="0.3">
      <c r="A50" s="23">
        <f>'INGRESO DE DATOS'!L36</f>
        <v>0</v>
      </c>
      <c r="D50" s="67">
        <f>'INGRESO DE DATOS'!M36</f>
        <v>0</v>
      </c>
    </row>
    <row r="51" spans="1:4" x14ac:dyDescent="0.3">
      <c r="A51" s="23">
        <f>'INGRESO DE DATOS'!L37</f>
        <v>0</v>
      </c>
      <c r="D51" s="67">
        <f>'INGRESO DE DATOS'!M37</f>
        <v>0</v>
      </c>
    </row>
    <row r="52" spans="1:4" x14ac:dyDescent="0.3">
      <c r="A52" s="23">
        <f>'INGRESO DE DATOS'!L38</f>
        <v>0</v>
      </c>
      <c r="D52" s="67">
        <f>'INGRESO DE DATOS'!M38</f>
        <v>0</v>
      </c>
    </row>
    <row r="53" spans="1:4" x14ac:dyDescent="0.3">
      <c r="A53" s="23">
        <f>'INGRESO DE DATOS'!L39</f>
        <v>0</v>
      </c>
      <c r="D53" s="67">
        <f>'INGRESO DE DATOS'!M39</f>
        <v>0</v>
      </c>
    </row>
    <row r="54" spans="1:4" x14ac:dyDescent="0.3">
      <c r="A54" s="23">
        <f>'INGRESO DE DATOS'!L40</f>
        <v>0</v>
      </c>
      <c r="D54" s="67">
        <f>'INGRESO DE DATOS'!M40</f>
        <v>0</v>
      </c>
    </row>
    <row r="55" spans="1:4" x14ac:dyDescent="0.3">
      <c r="A55" s="23">
        <f>'INGRESO DE DATOS'!L41</f>
        <v>0</v>
      </c>
      <c r="D55" s="67">
        <f>'INGRESO DE DATOS'!M41</f>
        <v>0</v>
      </c>
    </row>
    <row r="56" spans="1:4" hidden="1" x14ac:dyDescent="0.3">
      <c r="A56" s="23">
        <f>'INGRESO DE DATOS'!L42</f>
        <v>0</v>
      </c>
      <c r="D56" s="67">
        <f>'INGRESO DE DATOS'!M42</f>
        <v>0</v>
      </c>
    </row>
    <row r="57" spans="1:4" hidden="1" x14ac:dyDescent="0.3">
      <c r="A57" s="23">
        <f>'INGRESO DE DATOS'!L43</f>
        <v>0</v>
      </c>
      <c r="D57" s="67">
        <f>'INGRESO DE DATOS'!M43</f>
        <v>0</v>
      </c>
    </row>
    <row r="58" spans="1:4" hidden="1" x14ac:dyDescent="0.3">
      <c r="A58" s="23">
        <f>'INGRESO DE DATOS'!L44</f>
        <v>0</v>
      </c>
      <c r="D58" s="67">
        <f>'INGRESO DE DATOS'!M44</f>
        <v>0</v>
      </c>
    </row>
    <row r="59" spans="1:4" x14ac:dyDescent="0.3">
      <c r="A59" s="23">
        <f>'INGRESO DE DATOS'!L45</f>
        <v>0</v>
      </c>
      <c r="D59" s="67">
        <f>'INGRESO DE DATOS'!M45</f>
        <v>0</v>
      </c>
    </row>
    <row r="60" spans="1:4" x14ac:dyDescent="0.3">
      <c r="A60" s="23">
        <f>'INGRESO DE DATOS'!L46</f>
        <v>0</v>
      </c>
      <c r="D60" s="67">
        <f>'INGRESO DE DATOS'!M46</f>
        <v>0</v>
      </c>
    </row>
    <row r="61" spans="1:4" x14ac:dyDescent="0.3">
      <c r="A61" s="23" t="str">
        <f>+'INGRESO DE DATOS'!L51</f>
        <v>FLORES</v>
      </c>
      <c r="D61" s="67">
        <f>'1007 - Egresos'!G29</f>
        <v>0</v>
      </c>
    </row>
    <row r="62" spans="1:4" x14ac:dyDescent="0.3">
      <c r="A62" s="23" t="str">
        <f>+'INGRESO DE DATOS'!L52</f>
        <v>UVAS</v>
      </c>
      <c r="D62" s="67">
        <f>'1007 - Egresos'!G30</f>
        <v>0</v>
      </c>
    </row>
    <row r="63" spans="1:4" x14ac:dyDescent="0.3">
      <c r="A63" s="23" t="str">
        <f>+'INGRESO DE DATOS'!L53</f>
        <v>COPAS</v>
      </c>
      <c r="D63" s="67">
        <f>'1007 - Egresos'!G31</f>
        <v>0</v>
      </c>
    </row>
    <row r="64" spans="1:4" x14ac:dyDescent="0.3">
      <c r="A64" s="23" t="str">
        <f>+'INGRESO DE DATOS'!L54</f>
        <v>OASIS</v>
      </c>
      <c r="D64" s="67">
        <f>'1007 - Egresos'!G32</f>
        <v>0</v>
      </c>
    </row>
    <row r="65" spans="1:4" x14ac:dyDescent="0.3">
      <c r="A65" s="23" t="str">
        <f>+'INGRESO DE DATOS'!L55</f>
        <v>VELAS</v>
      </c>
      <c r="D65" s="67">
        <f>'1007 - Egresos'!G33</f>
        <v>0</v>
      </c>
    </row>
    <row r="66" spans="1:4" x14ac:dyDescent="0.3">
      <c r="A66" s="23" t="str">
        <f>+'INGRESO DE DATOS'!L56</f>
        <v>ACEITE</v>
      </c>
      <c r="D66" s="67">
        <f>'1007 - Egresos'!G34</f>
        <v>0</v>
      </c>
    </row>
    <row r="67" spans="1:4" x14ac:dyDescent="0.3">
      <c r="A67" s="23" t="str">
        <f>+'INGRESO DE DATOS'!L57</f>
        <v>CARBON</v>
      </c>
      <c r="D67" s="67">
        <f>'INGRESO DE DATOS'!M57</f>
        <v>0</v>
      </c>
    </row>
    <row r="68" spans="1:4" x14ac:dyDescent="0.3">
      <c r="A68" s="23" t="str">
        <f>'INGRESO DE DATOS'!L58</f>
        <v>PAN</v>
      </c>
      <c r="D68" s="67">
        <f>'INGRESO DE DATOS'!M58</f>
        <v>0</v>
      </c>
    </row>
    <row r="69" spans="1:4" x14ac:dyDescent="0.3">
      <c r="A69" s="23">
        <f>'INGRESO DE DATOS'!L59</f>
        <v>0</v>
      </c>
      <c r="D69" s="67">
        <f>'INGRESO DE DATOS'!M59</f>
        <v>0</v>
      </c>
    </row>
    <row r="70" spans="1:4" x14ac:dyDescent="0.3">
      <c r="A70" s="23">
        <f>'INGRESO DE DATOS'!L60</f>
        <v>0</v>
      </c>
      <c r="D70" s="67">
        <f>'INGRESO DE DATOS'!M60</f>
        <v>0</v>
      </c>
    </row>
    <row r="71" spans="1:4" x14ac:dyDescent="0.3">
      <c r="A71" s="23">
        <f>'INGRESO DE DATOS'!L61</f>
        <v>0</v>
      </c>
      <c r="D71" s="67">
        <f>'INGRESO DE DATOS'!M61</f>
        <v>0</v>
      </c>
    </row>
    <row r="72" spans="1:4" x14ac:dyDescent="0.3">
      <c r="A72" s="23">
        <f>'INGRESO DE DATOS'!L62</f>
        <v>0</v>
      </c>
      <c r="D72" s="67">
        <f>'INGRESO DE DATOS'!M62</f>
        <v>0</v>
      </c>
    </row>
    <row r="73" spans="1:4" x14ac:dyDescent="0.3">
      <c r="A73" s="23">
        <f>'INGRESO DE DATOS'!L63</f>
        <v>0</v>
      </c>
      <c r="D73" s="67">
        <f>'INGRESO DE DATOS'!M63</f>
        <v>0</v>
      </c>
    </row>
    <row r="74" spans="1:4" x14ac:dyDescent="0.3">
      <c r="A74" s="23">
        <f>'INGRESO DE DATOS'!L64</f>
        <v>0</v>
      </c>
      <c r="D74" s="67">
        <f>'INGRESO DE DATOS'!M64</f>
        <v>0</v>
      </c>
    </row>
    <row r="75" spans="1:4" hidden="1" x14ac:dyDescent="0.3">
      <c r="A75" s="23">
        <f>'INGRESO DE DATOS'!L65</f>
        <v>0</v>
      </c>
      <c r="D75" s="67">
        <f>'INGRESO DE DATOS'!M65</f>
        <v>0</v>
      </c>
    </row>
    <row r="76" spans="1:4" hidden="1" x14ac:dyDescent="0.3">
      <c r="A76" s="23">
        <f>'INGRESO DE DATOS'!L66</f>
        <v>0</v>
      </c>
      <c r="D76" s="67">
        <f>'INGRESO DE DATOS'!M66</f>
        <v>0</v>
      </c>
    </row>
    <row r="77" spans="1:4" hidden="1" x14ac:dyDescent="0.3">
      <c r="A77" s="23">
        <f>'INGRESO DE DATOS'!L67</f>
        <v>0</v>
      </c>
      <c r="D77" s="67">
        <f>'INGRESO DE DATOS'!M67</f>
        <v>0</v>
      </c>
    </row>
    <row r="78" spans="1:4" hidden="1" x14ac:dyDescent="0.3">
      <c r="A78" s="23">
        <f>'INGRESO DE DATOS'!L68</f>
        <v>0</v>
      </c>
      <c r="D78" s="67">
        <f>'INGRESO DE DATOS'!M68</f>
        <v>0</v>
      </c>
    </row>
    <row r="79" spans="1:4" hidden="1" x14ac:dyDescent="0.3">
      <c r="A79" s="23">
        <f>'INGRESO DE DATOS'!L69</f>
        <v>0</v>
      </c>
      <c r="D79" s="67">
        <f>'INGRESO DE DATOS'!M69</f>
        <v>0</v>
      </c>
    </row>
    <row r="80" spans="1:4" hidden="1" x14ac:dyDescent="0.3">
      <c r="A80" s="23">
        <f>'INGRESO DE DATOS'!L70</f>
        <v>0</v>
      </c>
      <c r="D80" s="67">
        <f>'INGRESO DE DATOS'!M70</f>
        <v>0</v>
      </c>
    </row>
    <row r="81" spans="1:7" hidden="1" x14ac:dyDescent="0.3">
      <c r="A81" s="23">
        <f>'INGRESO DE DATOS'!L71</f>
        <v>0</v>
      </c>
      <c r="D81" s="67">
        <f>'INGRESO DE DATOS'!M71</f>
        <v>0</v>
      </c>
    </row>
    <row r="82" spans="1:7" hidden="1" x14ac:dyDescent="0.3">
      <c r="A82" s="23">
        <f>'INGRESO DE DATOS'!L72</f>
        <v>0</v>
      </c>
      <c r="D82" s="67">
        <f>'INGRESO DE DATOS'!M72</f>
        <v>0</v>
      </c>
    </row>
    <row r="83" spans="1:7" hidden="1" x14ac:dyDescent="0.3">
      <c r="A83" s="23">
        <f>'INGRESO DE DATOS'!L73</f>
        <v>0</v>
      </c>
      <c r="D83" s="67">
        <f>'INGRESO DE DATOS'!M73</f>
        <v>0</v>
      </c>
    </row>
    <row r="84" spans="1:7" hidden="1" x14ac:dyDescent="0.3">
      <c r="A84" s="23">
        <f>'INGRESO DE DATOS'!L74</f>
        <v>0</v>
      </c>
      <c r="D84" s="67">
        <f>'INGRESO DE DATOS'!M74</f>
        <v>0</v>
      </c>
    </row>
    <row r="85" spans="1:7" hidden="1" x14ac:dyDescent="0.3">
      <c r="A85" s="23">
        <f>'INGRESO DE DATOS'!L75</f>
        <v>0</v>
      </c>
      <c r="D85" s="67">
        <f>'INGRESO DE DATOS'!M75</f>
        <v>0</v>
      </c>
    </row>
    <row r="86" spans="1:7" x14ac:dyDescent="0.3">
      <c r="A86" s="24"/>
      <c r="B86" s="24"/>
      <c r="C86" s="24"/>
      <c r="D86" s="102"/>
    </row>
    <row r="87" spans="1:7" ht="15.6" x14ac:dyDescent="0.3">
      <c r="A87" s="53" t="s">
        <v>72</v>
      </c>
      <c r="B87" s="54"/>
      <c r="C87" s="54"/>
      <c r="D87" s="55">
        <f>SUM(D39:D86)</f>
        <v>0</v>
      </c>
    </row>
    <row r="88" spans="1:7" ht="15" thickBot="1" x14ac:dyDescent="0.35">
      <c r="A88" s="15"/>
      <c r="B88" s="16"/>
      <c r="C88" s="16"/>
      <c r="D88" s="17"/>
    </row>
    <row r="89" spans="1:7" ht="15" thickBot="1" x14ac:dyDescent="0.35">
      <c r="A89" s="178" t="s">
        <v>185</v>
      </c>
      <c r="B89" s="18"/>
      <c r="C89" s="18"/>
      <c r="D89" s="16"/>
      <c r="E89" s="179">
        <f>+C12+C34-D87</f>
        <v>0</v>
      </c>
      <c r="G89" s="6"/>
    </row>
    <row r="90" spans="1:7" x14ac:dyDescent="0.3">
      <c r="A90" s="15" t="s">
        <v>30</v>
      </c>
      <c r="B90" s="18"/>
      <c r="C90" s="18"/>
      <c r="D90" s="16"/>
    </row>
    <row r="91" spans="1:7" x14ac:dyDescent="0.3">
      <c r="A91" s="15"/>
      <c r="B91" s="18"/>
      <c r="C91" s="18"/>
      <c r="D91" s="16"/>
    </row>
    <row r="92" spans="1:7" x14ac:dyDescent="0.3">
      <c r="A92" s="19" t="s">
        <v>31</v>
      </c>
    </row>
    <row r="93" spans="1:7" x14ac:dyDescent="0.3">
      <c r="A93" s="7"/>
    </row>
    <row r="94" spans="1:7" ht="15" thickBot="1" x14ac:dyDescent="0.35">
      <c r="A94" s="7"/>
    </row>
    <row r="95" spans="1:7" ht="15" thickBot="1" x14ac:dyDescent="0.35">
      <c r="A95" s="7"/>
      <c r="D95" s="410" t="s">
        <v>33</v>
      </c>
      <c r="E95" s="411"/>
    </row>
    <row r="96" spans="1:7" ht="15" thickBot="1" x14ac:dyDescent="0.35">
      <c r="A96" s="7"/>
    </row>
    <row r="97" spans="1:5" ht="15" thickBot="1" x14ac:dyDescent="0.35">
      <c r="A97" s="7" t="s">
        <v>83</v>
      </c>
      <c r="B97" s="56">
        <v>0</v>
      </c>
    </row>
    <row r="98" spans="1:5" x14ac:dyDescent="0.3">
      <c r="A98" s="18"/>
      <c r="D98" s="18"/>
    </row>
    <row r="99" spans="1:5" x14ac:dyDescent="0.3">
      <c r="A99" s="19" t="s">
        <v>32</v>
      </c>
      <c r="B99" s="20"/>
    </row>
    <row r="102" spans="1:5" x14ac:dyDescent="0.3">
      <c r="A102" s="7"/>
    </row>
    <row r="103" spans="1:5" ht="15" thickBot="1" x14ac:dyDescent="0.35">
      <c r="B103" s="10"/>
    </row>
    <row r="104" spans="1:5" ht="15" thickBot="1" x14ac:dyDescent="0.35">
      <c r="A104" s="7" t="s">
        <v>82</v>
      </c>
      <c r="B104" s="57">
        <f>SUM(B100:B103)</f>
        <v>0</v>
      </c>
    </row>
    <row r="105" spans="1:5" x14ac:dyDescent="0.3">
      <c r="A105" s="18"/>
      <c r="B105" s="10"/>
    </row>
    <row r="106" spans="1:5" x14ac:dyDescent="0.3">
      <c r="A106" s="21"/>
      <c r="B106" s="22"/>
    </row>
    <row r="110" spans="1:5" x14ac:dyDescent="0.3">
      <c r="C110" s="18"/>
    </row>
    <row r="112" spans="1:5" x14ac:dyDescent="0.3">
      <c r="D112" s="18"/>
      <c r="E112" s="18"/>
    </row>
  </sheetData>
  <sheetProtection algorithmName="SHA-512" hashValue="5ze0a3Jf/oCG+fgIvj0RYo+0CdP9zCuB05qzgAuxSEeFUP3umDZBI/8iGmTTBg5tx2h++36mPoZrrHHtdKru4w==" saltValue="j5Kkr5X693lG02kF4Pfvjw==" spinCount="100000" sheet="1" formatCells="0" formatColumns="0" formatRows="0"/>
  <mergeCells count="8">
    <mergeCell ref="A1:E1"/>
    <mergeCell ref="D95:E95"/>
    <mergeCell ref="A2:E2"/>
    <mergeCell ref="A6:E7"/>
    <mergeCell ref="B3:E3"/>
    <mergeCell ref="B4:E4"/>
    <mergeCell ref="B5:D5"/>
    <mergeCell ref="A12:B12"/>
  </mergeCells>
  <pageMargins left="0.74803149606299213" right="0" top="0" bottom="0" header="0" footer="0"/>
  <pageSetup scale="8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INSTRUCCIONES</vt:lpstr>
      <vt:lpstr>INGRESO DE DATOS</vt:lpstr>
      <vt:lpstr>1006-Ingresos</vt:lpstr>
      <vt:lpstr>1007 - Egresos</vt:lpstr>
      <vt:lpstr>1008-Entrega de Fondos</vt:lpstr>
      <vt:lpstr>1004 - Cuadre de caja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TESORERIA RAN</dc:creator>
  <cp:lastModifiedBy>TESORERIA RAN</cp:lastModifiedBy>
  <cp:revision/>
  <cp:lastPrinted>2020-04-28T21:37:29Z</cp:lastPrinted>
  <dcterms:created xsi:type="dcterms:W3CDTF">2014-07-26T03:06:01Z</dcterms:created>
  <dcterms:modified xsi:type="dcterms:W3CDTF">2025-05-16T22:21:19Z</dcterms:modified>
</cp:coreProperties>
</file>